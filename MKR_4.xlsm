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style1.xml" ContentType="application/vnd.ms-office.chartstyle+xml"/>
  <Override PartName="/xl/charts/colors1.xml" ContentType="application/vnd.ms-office.chartcolor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ЭтаКнига"/>
  <bookViews>
    <workbookView xWindow="0" yWindow="0" windowWidth="23040" windowHeight="8820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25" i="1" l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Z23" i="1"/>
  <c r="AN22" i="1"/>
  <c r="Z22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Z21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Z20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Z19" i="1"/>
  <c r="Z26" i="1"/>
  <c r="AN24" i="1"/>
  <c r="Z24" i="1"/>
  <c r="Z13" i="1"/>
  <c r="Z12" i="1"/>
  <c r="AN11" i="1"/>
  <c r="Z11" i="1"/>
  <c r="AJ10" i="1"/>
  <c r="AK10" i="1"/>
  <c r="AL10" i="1"/>
  <c r="AM10" i="1"/>
  <c r="AN10" i="1"/>
  <c r="AI10" i="1"/>
  <c r="AA10" i="1"/>
  <c r="AB10" i="1"/>
  <c r="AC10" i="1"/>
  <c r="Z10" i="1"/>
  <c r="AN9" i="1"/>
  <c r="Z9" i="1"/>
  <c r="AJ8" i="1"/>
  <c r="AK8" i="1"/>
  <c r="AL8" i="1"/>
  <c r="AM8" i="1"/>
  <c r="AN8" i="1"/>
  <c r="AI8" i="1"/>
  <c r="AH8" i="1"/>
  <c r="AG8" i="1"/>
  <c r="AF8" i="1"/>
  <c r="AA8" i="1"/>
  <c r="AB8" i="1"/>
  <c r="AC8" i="1"/>
  <c r="AD8" i="1"/>
  <c r="Z8" i="1"/>
  <c r="AE8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Z7" i="1"/>
  <c r="AJ6" i="1"/>
  <c r="AK6" i="1"/>
  <c r="AL6" i="1"/>
  <c r="AM6" i="1"/>
  <c r="AN6" i="1"/>
  <c r="AI6" i="1"/>
  <c r="AH6" i="1"/>
  <c r="AG6" i="1"/>
  <c r="AF6" i="1"/>
  <c r="AE6" i="1"/>
  <c r="AA6" i="1"/>
  <c r="AB6" i="1"/>
  <c r="AC6" i="1"/>
  <c r="AD6" i="1"/>
  <c r="Z6" i="1"/>
  <c r="V71" i="1"/>
  <c r="H66" i="1"/>
  <c r="V61" i="1"/>
  <c r="H61" i="1"/>
  <c r="J72" i="1"/>
  <c r="K72" i="1" s="1"/>
  <c r="L72" i="1" s="1"/>
  <c r="M72" i="1" s="1"/>
  <c r="N72" i="1" s="1"/>
  <c r="O72" i="1" s="1"/>
  <c r="P72" i="1" s="1"/>
  <c r="Q72" i="1" s="1"/>
  <c r="R72" i="1" s="1"/>
  <c r="S72" i="1" s="1"/>
  <c r="T72" i="1" s="1"/>
  <c r="U72" i="1" s="1"/>
  <c r="V72" i="1" s="1"/>
  <c r="I72" i="1"/>
  <c r="G70" i="1"/>
  <c r="G69" i="1" s="1"/>
  <c r="G68" i="1" s="1"/>
  <c r="G67" i="1" s="1"/>
  <c r="G66" i="1" s="1"/>
  <c r="G65" i="1" s="1"/>
  <c r="G64" i="1" s="1"/>
  <c r="G63" i="1" s="1"/>
  <c r="G62" i="1" s="1"/>
  <c r="G61" i="1" s="1"/>
  <c r="R57" i="1"/>
  <c r="S57" i="1"/>
  <c r="T57" i="1"/>
  <c r="U57" i="1"/>
  <c r="Q57" i="1"/>
  <c r="V57" i="1"/>
  <c r="I52" i="1"/>
  <c r="J52" i="1"/>
  <c r="K52" i="1"/>
  <c r="H52" i="1"/>
  <c r="V47" i="1"/>
  <c r="U47" i="1"/>
  <c r="J47" i="1"/>
  <c r="K47" i="1"/>
  <c r="L47" i="1"/>
  <c r="M47" i="1"/>
  <c r="N47" i="1"/>
  <c r="O47" i="1"/>
  <c r="P47" i="1"/>
  <c r="Q47" i="1"/>
  <c r="R47" i="1"/>
  <c r="S47" i="1"/>
  <c r="T47" i="1"/>
  <c r="I47" i="1"/>
  <c r="H33" i="1"/>
  <c r="H47" i="1"/>
  <c r="I58" i="1"/>
  <c r="J58" i="1" s="1"/>
  <c r="K58" i="1" s="1"/>
  <c r="L58" i="1" s="1"/>
  <c r="M58" i="1" s="1"/>
  <c r="N58" i="1" s="1"/>
  <c r="O58" i="1" s="1"/>
  <c r="P58" i="1" s="1"/>
  <c r="Q58" i="1" s="1"/>
  <c r="R58" i="1" s="1"/>
  <c r="S58" i="1" s="1"/>
  <c r="T58" i="1" s="1"/>
  <c r="U58" i="1" s="1"/>
  <c r="V58" i="1" s="1"/>
  <c r="G56" i="1"/>
  <c r="G55" i="1" s="1"/>
  <c r="G54" i="1" s="1"/>
  <c r="G53" i="1" s="1"/>
  <c r="G52" i="1" s="1"/>
  <c r="G51" i="1" s="1"/>
  <c r="G50" i="1" s="1"/>
  <c r="G49" i="1" s="1"/>
  <c r="G48" i="1" s="1"/>
  <c r="G47" i="1" s="1"/>
  <c r="J44" i="1"/>
  <c r="K44" i="1" s="1"/>
  <c r="L44" i="1" s="1"/>
  <c r="M44" i="1" s="1"/>
  <c r="N44" i="1" s="1"/>
  <c r="O44" i="1" s="1"/>
  <c r="P44" i="1" s="1"/>
  <c r="Q44" i="1" s="1"/>
  <c r="R44" i="1" s="1"/>
  <c r="S44" i="1" s="1"/>
  <c r="T44" i="1" s="1"/>
  <c r="U44" i="1" s="1"/>
  <c r="V44" i="1" s="1"/>
  <c r="I44" i="1"/>
  <c r="I30" i="1"/>
  <c r="J30" i="1" s="1"/>
  <c r="K30" i="1" s="1"/>
  <c r="L30" i="1" s="1"/>
  <c r="M30" i="1" s="1"/>
  <c r="N30" i="1" s="1"/>
  <c r="O30" i="1" s="1"/>
  <c r="P30" i="1" s="1"/>
  <c r="Q30" i="1" s="1"/>
  <c r="R30" i="1" s="1"/>
  <c r="S30" i="1" s="1"/>
  <c r="T30" i="1" s="1"/>
  <c r="U30" i="1" s="1"/>
  <c r="V30" i="1" s="1"/>
  <c r="J16" i="1"/>
  <c r="K16" i="1"/>
  <c r="L16" i="1"/>
  <c r="M16" i="1"/>
  <c r="N16" i="1" s="1"/>
  <c r="O16" i="1" s="1"/>
  <c r="P16" i="1" s="1"/>
  <c r="Q16" i="1" s="1"/>
  <c r="R16" i="1" s="1"/>
  <c r="S16" i="1" s="1"/>
  <c r="T16" i="1" s="1"/>
  <c r="U16" i="1" s="1"/>
  <c r="V16" i="1" s="1"/>
  <c r="I16" i="1"/>
  <c r="V43" i="1"/>
  <c r="V35" i="1"/>
  <c r="V36" i="1"/>
  <c r="V37" i="1"/>
  <c r="V38" i="1"/>
  <c r="V39" i="1"/>
  <c r="V40" i="1"/>
  <c r="V41" i="1"/>
  <c r="V42" i="1"/>
  <c r="V34" i="1"/>
  <c r="V33" i="1"/>
  <c r="H38" i="1"/>
  <c r="H35" i="1"/>
  <c r="H36" i="1"/>
  <c r="H37" i="1"/>
  <c r="H34" i="1"/>
  <c r="G42" i="1"/>
  <c r="G41" i="1"/>
  <c r="G40" i="1" s="1"/>
  <c r="G39" i="1" s="1"/>
  <c r="G38" i="1" s="1"/>
  <c r="G37" i="1" s="1"/>
  <c r="G36" i="1" s="1"/>
  <c r="G35" i="1" s="1"/>
  <c r="G34" i="1" s="1"/>
  <c r="G33" i="1" s="1"/>
  <c r="U14" i="1"/>
  <c r="V56" i="1" s="1"/>
  <c r="V70" i="1" s="1"/>
  <c r="T13" i="1"/>
  <c r="T42" i="1" s="1"/>
  <c r="Q14" i="1"/>
  <c r="P56" i="1" s="1"/>
  <c r="AH10" i="1" s="1"/>
  <c r="R14" i="1"/>
  <c r="Q56" i="1" s="1"/>
  <c r="T12" i="1"/>
  <c r="U54" i="1" s="1"/>
  <c r="S13" i="1"/>
  <c r="S42" i="1" s="1"/>
  <c r="P12" i="1"/>
  <c r="P41" i="1" s="1"/>
  <c r="Q11" i="1"/>
  <c r="Q12" i="1"/>
  <c r="T11" i="1"/>
  <c r="R11" i="1"/>
  <c r="P11" i="1"/>
  <c r="N11" i="1"/>
  <c r="M53" i="1" s="1"/>
  <c r="AE10" i="1" s="1"/>
  <c r="T10" i="1"/>
  <c r="U52" i="1" s="1"/>
  <c r="Q8" i="1"/>
  <c r="P10" i="1"/>
  <c r="M8" i="1"/>
  <c r="M9" i="1"/>
  <c r="I9" i="1"/>
  <c r="T9" i="1"/>
  <c r="U51" i="1" s="1"/>
  <c r="S7" i="1"/>
  <c r="P9" i="1"/>
  <c r="O7" i="1"/>
  <c r="L9" i="1"/>
  <c r="L38" i="1" s="1"/>
  <c r="K7" i="1"/>
  <c r="R8" i="1"/>
  <c r="N8" i="1"/>
  <c r="J8" i="1"/>
  <c r="I50" i="1" s="1"/>
  <c r="R7" i="1"/>
  <c r="N7" i="1"/>
  <c r="J7" i="1"/>
  <c r="T14" i="1"/>
  <c r="T43" i="1" s="1"/>
  <c r="P13" i="1"/>
  <c r="O55" i="1" s="1"/>
  <c r="R13" i="1"/>
  <c r="R42" i="1" s="1"/>
  <c r="O12" i="1"/>
  <c r="O41" i="1" s="1"/>
  <c r="AG9" i="1" s="1"/>
  <c r="S12" i="1"/>
  <c r="O11" i="1"/>
  <c r="O40" i="1" s="1"/>
  <c r="S11" i="1"/>
  <c r="N10" i="1"/>
  <c r="N39" i="1" s="1"/>
  <c r="R10" i="1"/>
  <c r="L7" i="1"/>
  <c r="M7" i="1"/>
  <c r="P7" i="1"/>
  <c r="Q7" i="1"/>
  <c r="T7" i="1"/>
  <c r="T34" i="1" s="1"/>
  <c r="K8" i="1"/>
  <c r="L8" i="1"/>
  <c r="O8" i="1"/>
  <c r="P8" i="1"/>
  <c r="S8" i="1"/>
  <c r="T8" i="1"/>
  <c r="U50" i="1" s="1"/>
  <c r="J9" i="1"/>
  <c r="K9" i="1"/>
  <c r="K38" i="1" s="1"/>
  <c r="K66" i="1" s="1"/>
  <c r="O9" i="1"/>
  <c r="S9" i="1"/>
  <c r="B6" i="1"/>
  <c r="V14" i="1"/>
  <c r="V13" i="1" s="1"/>
  <c r="V12" i="1" s="1"/>
  <c r="V11" i="1" s="1"/>
  <c r="V10" i="1" s="1"/>
  <c r="V9" i="1" s="1"/>
  <c r="V8" i="1" s="1"/>
  <c r="V7" i="1" s="1"/>
  <c r="V6" i="1" s="1"/>
  <c r="J5" i="1"/>
  <c r="K5" i="1"/>
  <c r="L5" i="1"/>
  <c r="M5" i="1"/>
  <c r="N5" i="1" s="1"/>
  <c r="O5" i="1" s="1"/>
  <c r="P5" i="1" s="1"/>
  <c r="Q5" i="1" s="1"/>
  <c r="R5" i="1" s="1"/>
  <c r="S5" i="1" s="1"/>
  <c r="T5" i="1" s="1"/>
  <c r="U5" i="1" s="1"/>
  <c r="V5" i="1" s="1"/>
  <c r="I5" i="1"/>
  <c r="H5" i="1"/>
  <c r="H8" i="1"/>
  <c r="H7" i="1" s="1"/>
  <c r="H6" i="1" s="1"/>
  <c r="H9" i="1"/>
  <c r="G28" i="1"/>
  <c r="G27" i="1"/>
  <c r="G26" i="1" s="1"/>
  <c r="G25" i="1" s="1"/>
  <c r="G24" i="1" s="1"/>
  <c r="G23" i="1" s="1"/>
  <c r="G22" i="1" s="1"/>
  <c r="G21" i="1" s="1"/>
  <c r="G20" i="1" s="1"/>
  <c r="G19" i="1" s="1"/>
  <c r="G12" i="1"/>
  <c r="G11" i="1" s="1"/>
  <c r="G10" i="1" s="1"/>
  <c r="G9" i="1" s="1"/>
  <c r="G8" i="1" s="1"/>
  <c r="G7" i="1" s="1"/>
  <c r="G6" i="1" s="1"/>
  <c r="G5" i="1" s="1"/>
  <c r="G13" i="1"/>
  <c r="G14" i="1"/>
  <c r="K51" i="1" l="1"/>
  <c r="S40" i="1"/>
  <c r="Q50" i="1"/>
  <c r="P37" i="1"/>
  <c r="I51" i="1"/>
  <c r="L50" i="1"/>
  <c r="J37" i="1"/>
  <c r="K49" i="1"/>
  <c r="J51" i="1"/>
  <c r="M50" i="1"/>
  <c r="K50" i="1"/>
  <c r="J38" i="1"/>
  <c r="AB9" i="1" s="1"/>
  <c r="AB11" i="1" s="1"/>
  <c r="I38" i="1"/>
  <c r="AA9" i="1" s="1"/>
  <c r="AA11" i="1" s="1"/>
  <c r="AA12" i="1" s="1"/>
  <c r="AA13" i="1" s="1"/>
  <c r="K36" i="1"/>
  <c r="N50" i="1"/>
  <c r="H51" i="1"/>
  <c r="H65" i="1" s="1"/>
  <c r="S53" i="1"/>
  <c r="K37" i="1"/>
  <c r="L37" i="1"/>
  <c r="R54" i="1"/>
  <c r="T41" i="1"/>
  <c r="P39" i="1"/>
  <c r="S56" i="1"/>
  <c r="S70" i="1" s="1"/>
  <c r="N51" i="1"/>
  <c r="O50" i="1"/>
  <c r="R50" i="1"/>
  <c r="R40" i="1"/>
  <c r="M38" i="1"/>
  <c r="L51" i="1"/>
  <c r="O36" i="1"/>
  <c r="O53" i="1"/>
  <c r="P38" i="1"/>
  <c r="N40" i="1"/>
  <c r="AF9" i="1" s="1"/>
  <c r="N53" i="1"/>
  <c r="N67" i="1" s="1"/>
  <c r="O54" i="1"/>
  <c r="O68" i="1" s="1"/>
  <c r="P54" i="1"/>
  <c r="P53" i="1"/>
  <c r="N54" i="1"/>
  <c r="O38" i="1"/>
  <c r="P42" i="1"/>
  <c r="AH9" i="1" s="1"/>
  <c r="AH11" i="1" s="1"/>
  <c r="AG10" i="1"/>
  <c r="AG11" i="1" s="1"/>
  <c r="O69" i="1"/>
  <c r="Q41" i="1"/>
  <c r="Q43" i="1"/>
  <c r="Q55" i="1"/>
  <c r="Q53" i="1"/>
  <c r="R43" i="1"/>
  <c r="Q52" i="1"/>
  <c r="S36" i="1"/>
  <c r="P36" i="1"/>
  <c r="P40" i="1"/>
  <c r="R53" i="1"/>
  <c r="U56" i="1"/>
  <c r="AL9" i="1"/>
  <c r="AL11" i="1" s="1"/>
  <c r="T71" i="1"/>
  <c r="U55" i="1"/>
  <c r="U53" i="1"/>
  <c r="S55" i="1"/>
  <c r="T40" i="1"/>
  <c r="U43" i="1"/>
  <c r="S52" i="1"/>
  <c r="P50" i="1"/>
  <c r="R37" i="1"/>
  <c r="N37" i="1"/>
  <c r="S34" i="1"/>
  <c r="AK22" i="1" s="1"/>
  <c r="AK24" i="1" s="1"/>
  <c r="T39" i="1"/>
  <c r="O52" i="1"/>
  <c r="O49" i="1"/>
  <c r="AD9" i="1"/>
  <c r="T37" i="1"/>
  <c r="N49" i="1"/>
  <c r="T38" i="1"/>
  <c r="M49" i="1"/>
  <c r="S38" i="1"/>
  <c r="L49" i="1"/>
  <c r="AC9" i="1"/>
  <c r="AC11" i="1" s="1"/>
  <c r="J36" i="1"/>
  <c r="S50" i="1"/>
  <c r="I49" i="1"/>
  <c r="M52" i="1"/>
  <c r="AL22" i="1"/>
  <c r="AL24" i="1" s="1"/>
  <c r="R34" i="1"/>
  <c r="U49" i="1"/>
  <c r="Q34" i="1"/>
  <c r="T36" i="1"/>
  <c r="S49" i="1"/>
  <c r="N34" i="1"/>
  <c r="Q49" i="1"/>
  <c r="O34" i="1"/>
  <c r="R49" i="1"/>
  <c r="L34" i="1"/>
  <c r="M36" i="1"/>
  <c r="P49" i="1"/>
  <c r="P34" i="1"/>
  <c r="K34" i="1"/>
  <c r="AC22" i="1" s="1"/>
  <c r="AC24" i="1" s="1"/>
  <c r="J34" i="1"/>
  <c r="L36" i="1"/>
  <c r="M34" i="1"/>
  <c r="U11" i="1"/>
  <c r="U12" i="1"/>
  <c r="R9" i="1"/>
  <c r="N9" i="1"/>
  <c r="Q10" i="1"/>
  <c r="Q37" i="1" s="1"/>
  <c r="M10" i="1"/>
  <c r="M37" i="1" s="1"/>
  <c r="R12" i="1"/>
  <c r="U13" i="1"/>
  <c r="Q13" i="1"/>
  <c r="S14" i="1"/>
  <c r="R56" i="1" s="1"/>
  <c r="R70" i="1" s="1"/>
  <c r="Q9" i="1"/>
  <c r="S10" i="1"/>
  <c r="O10" i="1"/>
  <c r="K65" i="1" l="1"/>
  <c r="P64" i="1"/>
  <c r="K64" i="1"/>
  <c r="L64" i="1"/>
  <c r="M64" i="1"/>
  <c r="S64" i="1"/>
  <c r="R68" i="1"/>
  <c r="J65" i="1"/>
  <c r="J66" i="1"/>
  <c r="AB12" i="1"/>
  <c r="AB13" i="1" s="1"/>
  <c r="I66" i="1"/>
  <c r="N65" i="1"/>
  <c r="O64" i="1"/>
  <c r="L65" i="1"/>
  <c r="P67" i="1"/>
  <c r="M66" i="1"/>
  <c r="P68" i="1"/>
  <c r="O66" i="1"/>
  <c r="N68" i="1"/>
  <c r="AF10" i="1"/>
  <c r="AF11" i="1" s="1"/>
  <c r="P70" i="1"/>
  <c r="S54" i="1"/>
  <c r="S68" i="1" s="1"/>
  <c r="R41" i="1"/>
  <c r="R39" i="1"/>
  <c r="R67" i="1" s="1"/>
  <c r="Q42" i="1"/>
  <c r="Q70" i="1" s="1"/>
  <c r="P55" i="1"/>
  <c r="P69" i="1" s="1"/>
  <c r="Q40" i="1"/>
  <c r="R55" i="1"/>
  <c r="Q54" i="1"/>
  <c r="Q71" i="1"/>
  <c r="AI9" i="1"/>
  <c r="AI11" i="1" s="1"/>
  <c r="S41" i="1"/>
  <c r="S69" i="1" s="1"/>
  <c r="S43" i="1"/>
  <c r="Q69" i="1"/>
  <c r="T56" i="1"/>
  <c r="T70" i="1" s="1"/>
  <c r="R71" i="1"/>
  <c r="AJ9" i="1"/>
  <c r="AJ11" i="1" s="1"/>
  <c r="AM9" i="1"/>
  <c r="AM11" i="1" s="1"/>
  <c r="U71" i="1"/>
  <c r="T53" i="1"/>
  <c r="T67" i="1" s="1"/>
  <c r="U40" i="1"/>
  <c r="U68" i="1" s="1"/>
  <c r="V53" i="1"/>
  <c r="V67" i="1" s="1"/>
  <c r="T54" i="1"/>
  <c r="T68" i="1" s="1"/>
  <c r="U41" i="1"/>
  <c r="U69" i="1" s="1"/>
  <c r="V54" i="1"/>
  <c r="V68" i="1" s="1"/>
  <c r="S66" i="1"/>
  <c r="T55" i="1"/>
  <c r="T69" i="1" s="1"/>
  <c r="U42" i="1"/>
  <c r="U70" i="1" s="1"/>
  <c r="V55" i="1"/>
  <c r="V69" i="1" s="1"/>
  <c r="N38" i="1"/>
  <c r="O51" i="1"/>
  <c r="S39" i="1"/>
  <c r="S67" i="1" s="1"/>
  <c r="S37" i="1"/>
  <c r="R51" i="1"/>
  <c r="R65" i="1" s="1"/>
  <c r="Q38" i="1"/>
  <c r="Q66" i="1" s="1"/>
  <c r="P51" i="1"/>
  <c r="P65" i="1" s="1"/>
  <c r="Q36" i="1"/>
  <c r="Q64" i="1" s="1"/>
  <c r="Q39" i="1"/>
  <c r="Q67" i="1" s="1"/>
  <c r="R52" i="1"/>
  <c r="R38" i="1"/>
  <c r="S51" i="1"/>
  <c r="Q51" i="1"/>
  <c r="Q65" i="1" s="1"/>
  <c r="O39" i="1"/>
  <c r="O67" i="1" s="1"/>
  <c r="P52" i="1"/>
  <c r="P66" i="1" s="1"/>
  <c r="O37" i="1"/>
  <c r="M51" i="1"/>
  <c r="M65" i="1" s="1"/>
  <c r="L52" i="1"/>
  <c r="M39" i="1"/>
  <c r="N52" i="1"/>
  <c r="N36" i="1"/>
  <c r="N64" i="1" s="1"/>
  <c r="R36" i="1"/>
  <c r="R64" i="1" s="1"/>
  <c r="AJ22" i="1"/>
  <c r="AJ24" i="1" s="1"/>
  <c r="AF22" i="1"/>
  <c r="AF24" i="1" s="1"/>
  <c r="AD22" i="1"/>
  <c r="AD24" i="1" s="1"/>
  <c r="AE22" i="1"/>
  <c r="AE24" i="1" s="1"/>
  <c r="AB22" i="1"/>
  <c r="AB24" i="1" s="1"/>
  <c r="AH22" i="1"/>
  <c r="AH24" i="1" s="1"/>
  <c r="AI22" i="1"/>
  <c r="AI24" i="1" s="1"/>
  <c r="AG22" i="1"/>
  <c r="AG24" i="1" s="1"/>
  <c r="U10" i="1"/>
  <c r="T52" i="1" s="1"/>
  <c r="T66" i="1" s="1"/>
  <c r="I7" i="1"/>
  <c r="I8" i="1"/>
  <c r="R66" i="1" l="1"/>
  <c r="AC12" i="1"/>
  <c r="AC13" i="1" s="1"/>
  <c r="N66" i="1"/>
  <c r="S71" i="1"/>
  <c r="AK9" i="1"/>
  <c r="AK11" i="1" s="1"/>
  <c r="Q68" i="1"/>
  <c r="R69" i="1"/>
  <c r="AD10" i="1"/>
  <c r="AD11" i="1" s="1"/>
  <c r="L66" i="1"/>
  <c r="O65" i="1"/>
  <c r="I37" i="1"/>
  <c r="I65" i="1" s="1"/>
  <c r="J50" i="1"/>
  <c r="J64" i="1" s="1"/>
  <c r="H50" i="1"/>
  <c r="H64" i="1" s="1"/>
  <c r="S65" i="1"/>
  <c r="V52" i="1"/>
  <c r="V66" i="1" s="1"/>
  <c r="U39" i="1"/>
  <c r="U67" i="1" s="1"/>
  <c r="AE9" i="1"/>
  <c r="AE11" i="1" s="1"/>
  <c r="M67" i="1"/>
  <c r="I34" i="1"/>
  <c r="J49" i="1"/>
  <c r="H49" i="1"/>
  <c r="H63" i="1" s="1"/>
  <c r="I36" i="1"/>
  <c r="I64" i="1" s="1"/>
  <c r="I6" i="1"/>
  <c r="U9" i="1"/>
  <c r="AD12" i="1" l="1"/>
  <c r="AD13" i="1" s="1"/>
  <c r="V51" i="1"/>
  <c r="V65" i="1" s="1"/>
  <c r="U38" i="1"/>
  <c r="U66" i="1" s="1"/>
  <c r="T51" i="1"/>
  <c r="T65" i="1" s="1"/>
  <c r="I33" i="1"/>
  <c r="I61" i="1" s="1"/>
  <c r="H48" i="1"/>
  <c r="H62" i="1" s="1"/>
  <c r="I35" i="1"/>
  <c r="I63" i="1" s="1"/>
  <c r="AA22" i="1"/>
  <c r="AA24" i="1" s="1"/>
  <c r="AA25" i="1" s="1"/>
  <c r="J6" i="1"/>
  <c r="U8" i="1"/>
  <c r="AE12" i="1" l="1"/>
  <c r="AF12" i="1" s="1"/>
  <c r="V50" i="1"/>
  <c r="V64" i="1" s="1"/>
  <c r="U37" i="1"/>
  <c r="U65" i="1" s="1"/>
  <c r="T50" i="1"/>
  <c r="T64" i="1" s="1"/>
  <c r="AA26" i="1"/>
  <c r="AB25" i="1"/>
  <c r="J35" i="1"/>
  <c r="J63" i="1" s="1"/>
  <c r="I48" i="1"/>
  <c r="I62" i="1" s="1"/>
  <c r="J33" i="1"/>
  <c r="J61" i="1" s="1"/>
  <c r="K6" i="1"/>
  <c r="U7" i="1"/>
  <c r="AE13" i="1" l="1"/>
  <c r="AG12" i="1"/>
  <c r="AF13" i="1"/>
  <c r="K33" i="1"/>
  <c r="K61" i="1" s="1"/>
  <c r="K35" i="1"/>
  <c r="K63" i="1" s="1"/>
  <c r="J48" i="1"/>
  <c r="J62" i="1" s="1"/>
  <c r="U34" i="1"/>
  <c r="V49" i="1"/>
  <c r="V63" i="1" s="1"/>
  <c r="U36" i="1"/>
  <c r="U64" i="1" s="1"/>
  <c r="T49" i="1"/>
  <c r="AC25" i="1"/>
  <c r="AB26" i="1"/>
  <c r="L6" i="1"/>
  <c r="AG13" i="1" l="1"/>
  <c r="AH12" i="1"/>
  <c r="AM22" i="1"/>
  <c r="AM24" i="1" s="1"/>
  <c r="L33" i="1"/>
  <c r="L61" i="1" s="1"/>
  <c r="L35" i="1"/>
  <c r="L63" i="1" s="1"/>
  <c r="K48" i="1"/>
  <c r="K62" i="1" s="1"/>
  <c r="AD25" i="1"/>
  <c r="AC26" i="1"/>
  <c r="M6" i="1"/>
  <c r="AI12" i="1" l="1"/>
  <c r="AH13" i="1"/>
  <c r="M35" i="1"/>
  <c r="M63" i="1" s="1"/>
  <c r="M33" i="1"/>
  <c r="M61" i="1" s="1"/>
  <c r="L48" i="1"/>
  <c r="L62" i="1" s="1"/>
  <c r="AE25" i="1"/>
  <c r="AD26" i="1"/>
  <c r="N6" i="1"/>
  <c r="AJ12" i="1" l="1"/>
  <c r="AI13" i="1"/>
  <c r="N33" i="1"/>
  <c r="N61" i="1" s="1"/>
  <c r="N35" i="1"/>
  <c r="N63" i="1" s="1"/>
  <c r="M48" i="1"/>
  <c r="M62" i="1" s="1"/>
  <c r="AE26" i="1"/>
  <c r="AF25" i="1"/>
  <c r="O6" i="1"/>
  <c r="AK12" i="1" l="1"/>
  <c r="AJ13" i="1"/>
  <c r="O33" i="1"/>
  <c r="O61" i="1" s="1"/>
  <c r="O35" i="1"/>
  <c r="O63" i="1" s="1"/>
  <c r="N48" i="1"/>
  <c r="N62" i="1" s="1"/>
  <c r="AF26" i="1"/>
  <c r="AG25" i="1"/>
  <c r="P6" i="1"/>
  <c r="AL12" i="1" l="1"/>
  <c r="AK13" i="1"/>
  <c r="P35" i="1"/>
  <c r="P63" i="1" s="1"/>
  <c r="P33" i="1"/>
  <c r="P61" i="1" s="1"/>
  <c r="O48" i="1"/>
  <c r="O62" i="1" s="1"/>
  <c r="AG26" i="1"/>
  <c r="AH25" i="1"/>
  <c r="Q6" i="1"/>
  <c r="AL13" i="1" l="1"/>
  <c r="AM12" i="1"/>
  <c r="Q35" i="1"/>
  <c r="Q63" i="1" s="1"/>
  <c r="Q33" i="1"/>
  <c r="Q61" i="1" s="1"/>
  <c r="P48" i="1"/>
  <c r="P62" i="1" s="1"/>
  <c r="AI25" i="1"/>
  <c r="AH26" i="1"/>
  <c r="R6" i="1"/>
  <c r="AN12" i="1" l="1"/>
  <c r="AN13" i="1" s="1"/>
  <c r="AM13" i="1"/>
  <c r="R35" i="1"/>
  <c r="R63" i="1" s="1"/>
  <c r="R33" i="1"/>
  <c r="R61" i="1" s="1"/>
  <c r="Q48" i="1"/>
  <c r="Q62" i="1" s="1"/>
  <c r="AJ25" i="1"/>
  <c r="AI26" i="1"/>
  <c r="S6" i="1"/>
  <c r="S35" i="1" l="1"/>
  <c r="S63" i="1" s="1"/>
  <c r="S33" i="1"/>
  <c r="S61" i="1" s="1"/>
  <c r="R48" i="1"/>
  <c r="R62" i="1" s="1"/>
  <c r="AK25" i="1"/>
  <c r="AJ26" i="1"/>
  <c r="T6" i="1"/>
  <c r="T35" i="1" l="1"/>
  <c r="T63" i="1" s="1"/>
  <c r="T33" i="1"/>
  <c r="T61" i="1" s="1"/>
  <c r="U48" i="1"/>
  <c r="U62" i="1" s="1"/>
  <c r="S48" i="1"/>
  <c r="S62" i="1" s="1"/>
  <c r="AK26" i="1"/>
  <c r="AL25" i="1"/>
  <c r="U6" i="1"/>
  <c r="U35" i="1" l="1"/>
  <c r="U63" i="1" s="1"/>
  <c r="V48" i="1"/>
  <c r="V62" i="1" s="1"/>
  <c r="U33" i="1"/>
  <c r="U61" i="1" s="1"/>
  <c r="T48" i="1"/>
  <c r="T62" i="1" s="1"/>
  <c r="AM25" i="1"/>
  <c r="AL26" i="1"/>
  <c r="AM26" i="1" l="1"/>
  <c r="AN25" i="1"/>
  <c r="AN26" i="1" s="1"/>
</calcChain>
</file>

<file path=xl/sharedStrings.xml><?xml version="1.0" encoding="utf-8"?>
<sst xmlns="http://schemas.openxmlformats.org/spreadsheetml/2006/main" count="30" uniqueCount="18">
  <si>
    <t>dx=dy</t>
  </si>
  <si>
    <t>V_in</t>
  </si>
  <si>
    <t>p_in</t>
  </si>
  <si>
    <t>V_out</t>
  </si>
  <si>
    <t>n_iter</t>
  </si>
  <si>
    <t>N_L</t>
  </si>
  <si>
    <t>N_H</t>
  </si>
  <si>
    <t>ψ</t>
  </si>
  <si>
    <t>U</t>
  </si>
  <si>
    <t>V</t>
  </si>
  <si>
    <t>Overall</t>
  </si>
  <si>
    <t>x</t>
  </si>
  <si>
    <t>y</t>
  </si>
  <si>
    <t>Vel</t>
  </si>
  <si>
    <t>p</t>
  </si>
  <si>
    <t>Cp</t>
  </si>
  <si>
    <t>start_Row</t>
  </si>
  <si>
    <t>start_Column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</si>
</sst>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* #,##0.00_-;\-* #,##0.00_-;_-* &quot;-&quot;??_-;_-@_-"/>
    <numFmt numFmtId="165" formatCode="0.0"/>
  </numFmts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92D05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38">
    <xf numFmtId="0" fontId="0" fillId="0" borderId="0" xfId="0"/>
    <xf numFmtId="0" fontId="0" fillId="0" borderId="1" xfId="0" applyBorder="1"/>
    <xf numFmtId="0" fontId="1" fillId="0" borderId="1" xfId="0" applyFont="1" applyBorder="1"/>
    <xf numFmtId="0" fontId="0" fillId="0" borderId="0" xfId="0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0" xfId="0" applyFill="1"/>
    <xf numFmtId="0" fontId="0" fillId="0" borderId="0" xfId="0" applyBorder="1" applyAlignment="1">
      <alignment horizontal="center"/>
    </xf>
    <xf numFmtId="0" fontId="0" fillId="0" borderId="0" xfId="0" applyBorder="1"/>
    <xf numFmtId="165" fontId="0" fillId="0" borderId="1" xfId="0" applyNumberFormat="1" applyBorder="1" applyAlignment="1">
      <alignment horizontal="center"/>
    </xf>
    <xf numFmtId="164" fontId="0" fillId="0" borderId="0" xfId="1" applyNumberFormat="1" applyFont="1"/>
    <xf numFmtId="2" fontId="0" fillId="0" borderId="0" xfId="1" applyNumberFormat="1" applyFont="1" applyAlignment="1">
      <alignment horizontal="center"/>
    </xf>
    <xf numFmtId="2" fontId="0" fillId="0" borderId="1" xfId="1" applyNumberFormat="1" applyFont="1" applyBorder="1" applyAlignment="1">
      <alignment horizontal="center"/>
    </xf>
    <xf numFmtId="2" fontId="0" fillId="2" borderId="2" xfId="1" applyNumberFormat="1" applyFont="1" applyFill="1" applyBorder="1" applyAlignment="1">
      <alignment horizontal="center"/>
    </xf>
    <xf numFmtId="2" fontId="0" fillId="2" borderId="1" xfId="1" applyNumberFormat="1" applyFont="1" applyFill="1" applyBorder="1" applyAlignment="1">
      <alignment horizontal="center"/>
    </xf>
    <xf numFmtId="2" fontId="0" fillId="2" borderId="3" xfId="1" applyNumberFormat="1" applyFont="1" applyFill="1" applyBorder="1" applyAlignment="1">
      <alignment horizontal="center"/>
    </xf>
    <xf numFmtId="2" fontId="0" fillId="0" borderId="2" xfId="1" applyNumberFormat="1" applyFont="1" applyFill="1" applyBorder="1" applyAlignment="1">
      <alignment horizontal="center"/>
    </xf>
    <xf numFmtId="2" fontId="0" fillId="0" borderId="1" xfId="1" applyNumberFormat="1" applyFont="1" applyFill="1" applyBorder="1" applyAlignment="1">
      <alignment horizontal="center"/>
    </xf>
    <xf numFmtId="2" fontId="0" fillId="0" borderId="3" xfId="1" applyNumberFormat="1" applyFont="1" applyBorder="1" applyAlignment="1">
      <alignment horizontal="center"/>
    </xf>
    <xf numFmtId="2" fontId="0" fillId="0" borderId="2" xfId="1" applyNumberFormat="1" applyFont="1" applyBorder="1" applyAlignment="1">
      <alignment horizontal="center"/>
    </xf>
    <xf numFmtId="2" fontId="0" fillId="0" borderId="0" xfId="1" applyNumberFormat="1" applyFont="1" applyFill="1" applyBorder="1" applyAlignment="1">
      <alignment horizontal="center"/>
    </xf>
    <xf numFmtId="2" fontId="0" fillId="0" borderId="0" xfId="1" applyNumberFormat="1" applyFont="1" applyBorder="1" applyAlignment="1">
      <alignment horizontal="center"/>
    </xf>
    <xf numFmtId="2" fontId="0" fillId="0" borderId="4" xfId="1" applyNumberFormat="1" applyFont="1" applyBorder="1" applyAlignment="1">
      <alignment horizontal="center"/>
    </xf>
    <xf numFmtId="2" fontId="0" fillId="0" borderId="1" xfId="0" applyNumberFormat="1" applyBorder="1"/>
    <xf numFmtId="2" fontId="1" fillId="0" borderId="1" xfId="0" applyNumberFormat="1" applyFont="1" applyBorder="1"/>
    <xf numFmtId="1" fontId="0" fillId="0" borderId="1" xfId="0" applyNumberFormat="1" applyBorder="1"/>
    <xf numFmtId="2" fontId="0" fillId="3" borderId="1" xfId="1" applyNumberFormat="1" applyFont="1" applyFill="1" applyBorder="1" applyAlignment="1">
      <alignment horizontal="center"/>
    </xf>
    <xf numFmtId="1" fontId="0" fillId="3" borderId="1" xfId="1" applyNumberFormat="1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2" fontId="0" fillId="3" borderId="6" xfId="1" applyNumberFormat="1" applyFont="1" applyFill="1" applyBorder="1" applyAlignment="1">
      <alignment horizontal="center"/>
    </xf>
    <xf numFmtId="0" fontId="1" fillId="4" borderId="0" xfId="0" applyFont="1" applyFill="1" applyBorder="1"/>
    <xf numFmtId="2" fontId="0" fillId="4" borderId="2" xfId="1" applyNumberFormat="1" applyFont="1" applyFill="1" applyBorder="1" applyAlignment="1">
      <alignment horizontal="center"/>
    </xf>
    <xf numFmtId="2" fontId="0" fillId="4" borderId="1" xfId="1" applyNumberFormat="1" applyFont="1" applyFill="1" applyBorder="1" applyAlignment="1">
      <alignment horizontal="center"/>
    </xf>
    <xf numFmtId="2" fontId="0" fillId="4" borderId="3" xfId="1" applyNumberFormat="1" applyFont="1" applyFill="1" applyBorder="1" applyAlignment="1">
      <alignment horizontal="center"/>
    </xf>
    <xf numFmtId="0" fontId="0" fillId="4" borderId="0" xfId="0" applyFill="1"/>
    <xf numFmtId="2" fontId="0" fillId="5" borderId="1" xfId="1" applyNumberFormat="1" applyFont="1" applyFill="1" applyBorder="1" applyAlignment="1">
      <alignment horizontal="center"/>
    </xf>
    <xf numFmtId="2" fontId="0" fillId="6" borderId="2" xfId="1" applyNumberFormat="1" applyFont="1" applyFill="1" applyBorder="1" applyAlignment="1">
      <alignment horizontal="center"/>
    </xf>
    <xf numFmtId="2" fontId="0" fillId="6" borderId="1" xfId="1" applyNumberFormat="1" applyFont="1" applyFill="1" applyBorder="1" applyAlignment="1">
      <alignment horizontal="center"/>
    </xf>
    <xf numFmtId="2" fontId="0" fillId="6" borderId="5" xfId="1" applyNumberFormat="1" applyFont="1" applyFill="1" applyBorder="1" applyAlignment="1">
      <alignment horizontal="center"/>
    </xf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colors>
    <mruColors>
      <color rgb="FFFF66CC"/>
      <color rgb="FFFFCCFF"/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microsoft.com/office/2011/relationships/chartStyle" Target="style1.xml"/><Relationship Id="rId2" Type="http://schemas.microsoft.com/office/2011/relationships/chartColorStyle" Target="colors1.xml"/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7127732461146851E-2"/>
          <c:y val="8.9646934287212821E-2"/>
          <c:w val="0.8123891257699567"/>
          <c:h val="0.83915527561132452"/>
        </c:manualLayout>
      </c:layout>
      <c:lineChart>
        <c:grouping val="standard"/>
        <c:varyColors val="0"/>
        <c:ser>
          <c:idx val="1"/>
          <c:order val="0"/>
          <c:tx>
            <c:v>нижняя стенка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Лист1!$Z$7:$AN$7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Лист1!$Z$13:$AN$13</c:f>
              <c:numCache>
                <c:formatCode>0.00</c:formatCode>
                <c:ptCount val="15"/>
                <c:pt idx="0">
                  <c:v>0</c:v>
                </c:pt>
                <c:pt idx="1">
                  <c:v>-3.5737079020473177E-2</c:v>
                </c:pt>
                <c:pt idx="2">
                  <c:v>-9.1033933974686079E-2</c:v>
                </c:pt>
                <c:pt idx="3">
                  <c:v>-0.2035709116628277</c:v>
                </c:pt>
                <c:pt idx="4">
                  <c:v>-0.59334649819327756</c:v>
                </c:pt>
                <c:pt idx="5">
                  <c:v>0.30864062859240221</c:v>
                </c:pt>
                <c:pt idx="6">
                  <c:v>0.58970058153616267</c:v>
                </c:pt>
                <c:pt idx="7">
                  <c:v>0.74184416975447676</c:v>
                </c:pt>
                <c:pt idx="8">
                  <c:v>0.85363227440131595</c:v>
                </c:pt>
                <c:pt idx="9">
                  <c:v>0.95233497416862523</c:v>
                </c:pt>
                <c:pt idx="10">
                  <c:v>0.89241445434308841</c:v>
                </c:pt>
                <c:pt idx="11">
                  <c:v>0.84549092596193076</c:v>
                </c:pt>
                <c:pt idx="12">
                  <c:v>0.80891511394293047</c:v>
                </c:pt>
                <c:pt idx="13">
                  <c:v>0.77836961084074574</c:v>
                </c:pt>
                <c:pt idx="14">
                  <c:v>0.75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087-480B-8A70-8676A0AF7D79}"/>
            </c:ext>
          </c:extLst>
        </c:ser>
        <c:ser>
          <c:idx val="2"/>
          <c:order val="1"/>
          <c:tx>
            <c:v>верхняя стенка</c:v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Лист1!$Z$7:$AN$7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Лист1!$Z$26:$AN$26</c:f>
              <c:numCache>
                <c:formatCode>0.00</c:formatCode>
                <c:ptCount val="15"/>
                <c:pt idx="0">
                  <c:v>0</c:v>
                </c:pt>
                <c:pt idx="1">
                  <c:v>2.4108136022405233E-2</c:v>
                </c:pt>
                <c:pt idx="2">
                  <c:v>5.5728646165225652E-2</c:v>
                </c:pt>
                <c:pt idx="3">
                  <c:v>0.10328886155359214</c:v>
                </c:pt>
                <c:pt idx="4">
                  <c:v>0.17458629583969013</c:v>
                </c:pt>
                <c:pt idx="5">
                  <c:v>0.26984679915651211</c:v>
                </c:pt>
                <c:pt idx="6">
                  <c:v>0.36882009155000561</c:v>
                </c:pt>
                <c:pt idx="7">
                  <c:v>0.45761027225758882</c:v>
                </c:pt>
                <c:pt idx="8">
                  <c:v>0.53132455406856027</c:v>
                </c:pt>
                <c:pt idx="9">
                  <c:v>0.59021007570991058</c:v>
                </c:pt>
                <c:pt idx="10">
                  <c:v>0.63657198086788414</c:v>
                </c:pt>
                <c:pt idx="11">
                  <c:v>0.67321666368283328</c:v>
                </c:pt>
                <c:pt idx="12">
                  <c:v>0.70282177970424531</c:v>
                </c:pt>
                <c:pt idx="13">
                  <c:v>0.72774338810180783</c:v>
                </c:pt>
                <c:pt idx="14">
                  <c:v>0.75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087-480B-8A70-8676A0AF7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307200"/>
        <c:axId val="196321280"/>
      </c:lineChart>
      <c:catAx>
        <c:axId val="196307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6321280"/>
        <c:crosses val="autoZero"/>
        <c:auto val="1"/>
        <c:lblAlgn val="ctr"/>
        <c:lblOffset val="100"/>
        <c:tickMarkSkip val="1"/>
        <c:noMultiLvlLbl val="0"/>
      </c:catAx>
      <c:valAx>
        <c:axId val="196321280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630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8583968672861415"/>
          <c:y val="0.9060749579938554"/>
          <c:w val="0.48989135584230326"/>
          <c:h val="9.392504200614462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19240</xdr:colOff>
      <xdr:row>28</xdr:row>
      <xdr:rowOff>57068</xdr:rowOff>
    </xdr:from>
    <xdr:to>
      <xdr:col>36</xdr:col>
      <xdr:colOff>344485</xdr:colOff>
      <xdr:row>53</xdr:row>
      <xdr:rowOff>19898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6A824009-BFD5-4111-83D5-3AD7A9D184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0.13228</cdr:x>
      <cdr:y>0.03404</cdr:y>
    </cdr:from>
    <cdr:to>
      <cdr:x>0.18224</cdr:x>
      <cdr:y>0.11021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7EA2FA12-7C37-4B71-B8EB-43B616C4D012}"/>
            </a:ext>
          </a:extLst>
        </cdr:cNvPr>
        <cdr:cNvSpPr txBox="1"/>
      </cdr:nvSpPr>
      <cdr:spPr>
        <a:xfrm xmlns:a="http://schemas.openxmlformats.org/drawingml/2006/main">
          <a:off x="1328853" y="195147"/>
          <a:ext cx="501805" cy="43675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0.01923</cdr:x>
      <cdr:y>0</cdr:y>
    </cdr:from>
    <cdr:to>
      <cdr:x>0.09352</cdr:x>
      <cdr:y>0.09808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36B46024-A705-4525-AF6A-842D7821784C}"/>
            </a:ext>
          </a:extLst>
        </cdr:cNvPr>
        <cdr:cNvSpPr txBox="1"/>
      </cdr:nvSpPr>
      <cdr:spPr>
        <a:xfrm xmlns:a="http://schemas.openxmlformats.org/drawingml/2006/main">
          <a:off x="126929" y="0"/>
          <a:ext cx="490326" cy="4359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800"/>
            <a:t>Cp</a:t>
          </a:r>
          <a:endParaRPr lang="ru-RU" sz="1800"/>
        </a:p>
      </cdr:txBody>
    </cdr:sp>
  </cdr:relSizeAnchor>
  <cdr:relSizeAnchor xmlns:cdr="http://schemas.openxmlformats.org/drawingml/2006/chartDrawing">
    <cdr:from>
      <cdr:x>0.91107</cdr:x>
      <cdr:y>0.49039</cdr:y>
    </cdr:from>
    <cdr:to>
      <cdr:x>1</cdr:x>
      <cdr:y>0.58093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FB26C320-0946-463D-8676-73AFBFEDE8DB}"/>
            </a:ext>
          </a:extLst>
        </cdr:cNvPr>
        <cdr:cNvSpPr txBox="1"/>
      </cdr:nvSpPr>
      <cdr:spPr>
        <a:xfrm xmlns:a="http://schemas.openxmlformats.org/drawingml/2006/main">
          <a:off x="5841736" y="2055226"/>
          <a:ext cx="570215" cy="3794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/>
            <a:t>X, </a:t>
          </a:r>
          <a:r>
            <a:rPr lang="ru-RU" sz="1800"/>
            <a:t>м</a:t>
          </a:r>
        </a:p>
        <a:p xmlns:a="http://schemas.openxmlformats.org/drawingml/2006/main">
          <a:endParaRPr lang="ru-RU" sz="1800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N72"/>
  <sheetViews>
    <sheetView tabSelected="1" topLeftCell="B1" zoomScale="70" zoomScaleNormal="70" workbookViewId="0">
      <selection activeCell="AH56" sqref="AH56"/>
    </sheetView>
  </sheetViews>
  <sheetFormatPr defaultRowHeight="14.4" x14ac:dyDescent="0.3"/>
  <cols>
    <col min="1" max="1" width="12.21875" bestFit="1" customWidth="1"/>
    <col min="7" max="7" width="5.109375" bestFit="1" customWidth="1"/>
    <col min="8" max="22" width="6.109375" bestFit="1" customWidth="1"/>
    <col min="23" max="23" width="3.6640625" bestFit="1" customWidth="1"/>
    <col min="25" max="25" width="5.109375" bestFit="1" customWidth="1"/>
    <col min="26" max="40" width="9.109375" bestFit="1" customWidth="1"/>
  </cols>
  <sheetData>
    <row r="1" spans="1:40" x14ac:dyDescent="0.3"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</row>
    <row r="2" spans="1:40" x14ac:dyDescent="0.3">
      <c r="A2" s="1" t="s">
        <v>0</v>
      </c>
      <c r="B2" s="1">
        <v>0.2</v>
      </c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</row>
    <row r="3" spans="1:40" x14ac:dyDescent="0.3"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</row>
    <row r="4" spans="1:40" x14ac:dyDescent="0.3">
      <c r="A4" s="1" t="s">
        <v>1</v>
      </c>
      <c r="B4" s="1">
        <v>10</v>
      </c>
      <c r="G4" s="10"/>
      <c r="H4" s="26">
        <v>1</v>
      </c>
      <c r="I4" s="26">
        <v>2</v>
      </c>
      <c r="J4" s="26">
        <v>3</v>
      </c>
      <c r="K4" s="26">
        <v>4</v>
      </c>
      <c r="L4" s="26">
        <v>5</v>
      </c>
      <c r="M4" s="26">
        <v>6</v>
      </c>
      <c r="N4" s="26">
        <v>7</v>
      </c>
      <c r="O4" s="26">
        <v>8</v>
      </c>
      <c r="P4" s="26">
        <v>9</v>
      </c>
      <c r="Q4" s="26">
        <v>10</v>
      </c>
      <c r="R4" s="26">
        <v>11</v>
      </c>
      <c r="S4" s="26">
        <v>12</v>
      </c>
      <c r="T4" s="26">
        <v>13</v>
      </c>
      <c r="U4" s="26">
        <v>14</v>
      </c>
      <c r="V4" s="26">
        <v>15</v>
      </c>
      <c r="W4" s="3"/>
    </row>
    <row r="5" spans="1:40" x14ac:dyDescent="0.3">
      <c r="A5" s="1" t="s">
        <v>2</v>
      </c>
      <c r="B5" s="1">
        <v>101325</v>
      </c>
      <c r="F5" s="29" t="s">
        <v>7</v>
      </c>
      <c r="G5" s="25">
        <f t="shared" ref="G5:G13" si="0">G6+B$2</f>
        <v>1.9999999999999998</v>
      </c>
      <c r="H5" s="30">
        <f t="shared" ref="H5:H8" si="1">H6+$B$4*$B$2</f>
        <v>10</v>
      </c>
      <c r="I5" s="31">
        <f>H5</f>
        <v>10</v>
      </c>
      <c r="J5" s="31">
        <f t="shared" ref="J5:V5" si="2">I5</f>
        <v>10</v>
      </c>
      <c r="K5" s="31">
        <f t="shared" si="2"/>
        <v>10</v>
      </c>
      <c r="L5" s="31">
        <f t="shared" si="2"/>
        <v>10</v>
      </c>
      <c r="M5" s="31">
        <f t="shared" si="2"/>
        <v>10</v>
      </c>
      <c r="N5" s="31">
        <f t="shared" si="2"/>
        <v>10</v>
      </c>
      <c r="O5" s="31">
        <f t="shared" si="2"/>
        <v>10</v>
      </c>
      <c r="P5" s="31">
        <f t="shared" si="2"/>
        <v>10</v>
      </c>
      <c r="Q5" s="31">
        <f t="shared" si="2"/>
        <v>10</v>
      </c>
      <c r="R5" s="31">
        <f t="shared" si="2"/>
        <v>10</v>
      </c>
      <c r="S5" s="31">
        <f t="shared" si="2"/>
        <v>10</v>
      </c>
      <c r="T5" s="31">
        <f t="shared" si="2"/>
        <v>10</v>
      </c>
      <c r="U5" s="31">
        <f t="shared" si="2"/>
        <v>10</v>
      </c>
      <c r="V5" s="31">
        <f t="shared" si="2"/>
        <v>10</v>
      </c>
      <c r="W5" s="27">
        <v>11</v>
      </c>
      <c r="Y5" s="24">
        <v>0</v>
      </c>
      <c r="Z5" s="24">
        <v>1</v>
      </c>
      <c r="AA5" s="24">
        <v>2</v>
      </c>
      <c r="AB5" s="24">
        <v>3</v>
      </c>
      <c r="AC5" s="24">
        <v>4</v>
      </c>
      <c r="AD5" s="24">
        <v>5</v>
      </c>
      <c r="AE5" s="24">
        <v>6</v>
      </c>
      <c r="AF5" s="24">
        <v>7</v>
      </c>
      <c r="AG5" s="24">
        <v>8</v>
      </c>
      <c r="AH5" s="24">
        <v>9</v>
      </c>
      <c r="AI5" s="24">
        <v>10</v>
      </c>
      <c r="AJ5" s="24">
        <v>11</v>
      </c>
      <c r="AK5" s="24">
        <v>12</v>
      </c>
      <c r="AL5" s="24">
        <v>13</v>
      </c>
      <c r="AM5" s="24">
        <v>14</v>
      </c>
      <c r="AN5" s="24">
        <v>15</v>
      </c>
    </row>
    <row r="6" spans="1:40" x14ac:dyDescent="0.3">
      <c r="A6" s="1" t="s">
        <v>3</v>
      </c>
      <c r="B6" s="1">
        <f>((G5-G10)*B4)/(G5-G15)</f>
        <v>5</v>
      </c>
      <c r="G6" s="25">
        <f t="shared" si="0"/>
        <v>1.7999999999999998</v>
      </c>
      <c r="H6" s="30">
        <f t="shared" si="1"/>
        <v>8</v>
      </c>
      <c r="I6" s="34">
        <f>0.25*(I19+J20+I21+H20)</f>
        <v>8.0283446451390201</v>
      </c>
      <c r="J6" s="34">
        <f t="shared" ref="J6:U6" si="3">0.25*(J19+K20+J21+I20)</f>
        <v>8.0648681526173505</v>
      </c>
      <c r="K6" s="34">
        <f t="shared" si="3"/>
        <v>8.1180729987453777</v>
      </c>
      <c r="L6" s="34">
        <f t="shared" si="3"/>
        <v>8.195217166158649</v>
      </c>
      <c r="M6" s="34">
        <f t="shared" si="3"/>
        <v>8.2968869331178503</v>
      </c>
      <c r="N6" s="34">
        <f t="shared" si="3"/>
        <v>8.4102906749091311</v>
      </c>
      <c r="O6" s="34">
        <f t="shared" si="3"/>
        <v>8.5221490566086295</v>
      </c>
      <c r="P6" s="34">
        <f t="shared" si="3"/>
        <v>8.6241900986107414</v>
      </c>
      <c r="Q6" s="34">
        <f t="shared" si="3"/>
        <v>8.7130063540493303</v>
      </c>
      <c r="R6" s="34">
        <f t="shared" si="3"/>
        <v>8.7884287858070635</v>
      </c>
      <c r="S6" s="34">
        <f t="shared" si="3"/>
        <v>8.8521084694366348</v>
      </c>
      <c r="T6" s="34">
        <f t="shared" si="3"/>
        <v>8.9066037598749812</v>
      </c>
      <c r="U6" s="34">
        <f t="shared" si="3"/>
        <v>8.9548687882918756</v>
      </c>
      <c r="V6" s="31">
        <f t="shared" ref="V6:V13" si="4">V7+$B$6*$B$2</f>
        <v>9</v>
      </c>
      <c r="W6" s="27">
        <v>10</v>
      </c>
      <c r="Y6" s="23" t="s">
        <v>7</v>
      </c>
      <c r="Z6" s="4">
        <f>H10</f>
        <v>0</v>
      </c>
      <c r="AA6" s="4">
        <f t="shared" ref="AA6:AD6" si="5">I10</f>
        <v>0</v>
      </c>
      <c r="AB6" s="4">
        <f t="shared" si="5"/>
        <v>0</v>
      </c>
      <c r="AC6" s="4">
        <f t="shared" si="5"/>
        <v>0</v>
      </c>
      <c r="AD6" s="4">
        <f t="shared" si="5"/>
        <v>0</v>
      </c>
      <c r="AE6" s="4">
        <f>M11</f>
        <v>0</v>
      </c>
      <c r="AF6" s="4">
        <f>N12</f>
        <v>0</v>
      </c>
      <c r="AG6" s="4">
        <f>O13</f>
        <v>0</v>
      </c>
      <c r="AH6" s="4">
        <f>P14</f>
        <v>0</v>
      </c>
      <c r="AI6" s="4">
        <f>Q15</f>
        <v>0</v>
      </c>
      <c r="AJ6" s="4">
        <f t="shared" ref="AJ6:AN6" si="6">R15</f>
        <v>0</v>
      </c>
      <c r="AK6" s="4">
        <f t="shared" si="6"/>
        <v>0</v>
      </c>
      <c r="AL6" s="4">
        <f t="shared" si="6"/>
        <v>0</v>
      </c>
      <c r="AM6" s="4">
        <f t="shared" si="6"/>
        <v>0</v>
      </c>
      <c r="AN6" s="4">
        <f t="shared" si="6"/>
        <v>0</v>
      </c>
    </row>
    <row r="7" spans="1:40" x14ac:dyDescent="0.3">
      <c r="G7" s="25">
        <f t="shared" si="0"/>
        <v>1.5999999999999999</v>
      </c>
      <c r="H7" s="30">
        <f t="shared" si="1"/>
        <v>6</v>
      </c>
      <c r="I7" s="34">
        <f t="shared" ref="I7:U7" si="7">0.25*(I20+J21+I22+H21)</f>
        <v>6.0485104297694843</v>
      </c>
      <c r="J7" s="34">
        <f t="shared" si="7"/>
        <v>6.1130549706282409</v>
      </c>
      <c r="K7" s="34">
        <f t="shared" si="7"/>
        <v>6.2122066826259434</v>
      </c>
      <c r="L7" s="34">
        <f t="shared" si="7"/>
        <v>6.3659087426749377</v>
      </c>
      <c r="M7" s="34">
        <f t="shared" si="7"/>
        <v>6.5820399046363756</v>
      </c>
      <c r="N7" s="34">
        <f t="shared" si="7"/>
        <v>6.8221267276369435</v>
      </c>
      <c r="O7" s="34">
        <f t="shared" si="7"/>
        <v>7.0541154734311275</v>
      </c>
      <c r="P7" s="34">
        <f t="shared" si="7"/>
        <v>7.2616050075080159</v>
      </c>
      <c r="Q7" s="34">
        <f t="shared" si="7"/>
        <v>7.439406555378091</v>
      </c>
      <c r="R7" s="34">
        <f t="shared" si="7"/>
        <v>7.5886003429309392</v>
      </c>
      <c r="S7" s="34">
        <f t="shared" si="7"/>
        <v>7.7134013511164916</v>
      </c>
      <c r="T7" s="34">
        <f t="shared" si="7"/>
        <v>7.8194377961790948</v>
      </c>
      <c r="U7" s="34">
        <f t="shared" si="7"/>
        <v>7.9128714006144643</v>
      </c>
      <c r="V7" s="31">
        <f t="shared" si="4"/>
        <v>8</v>
      </c>
      <c r="W7" s="27">
        <v>9</v>
      </c>
      <c r="Y7" s="22" t="s">
        <v>11</v>
      </c>
      <c r="Z7" s="4">
        <f>H16</f>
        <v>0</v>
      </c>
      <c r="AA7" s="4">
        <f t="shared" ref="AA7:AN7" si="8">I16</f>
        <v>0.2</v>
      </c>
      <c r="AB7" s="4">
        <f t="shared" si="8"/>
        <v>0.4</v>
      </c>
      <c r="AC7" s="4">
        <f t="shared" si="8"/>
        <v>0.60000000000000009</v>
      </c>
      <c r="AD7" s="4">
        <f t="shared" si="8"/>
        <v>0.8</v>
      </c>
      <c r="AE7" s="4">
        <f t="shared" si="8"/>
        <v>1</v>
      </c>
      <c r="AF7" s="4">
        <f t="shared" si="8"/>
        <v>1.2</v>
      </c>
      <c r="AG7" s="4">
        <f t="shared" si="8"/>
        <v>1.4</v>
      </c>
      <c r="AH7" s="4">
        <f t="shared" si="8"/>
        <v>1.5999999999999999</v>
      </c>
      <c r="AI7" s="4">
        <f t="shared" si="8"/>
        <v>1.7999999999999998</v>
      </c>
      <c r="AJ7" s="4">
        <f t="shared" si="8"/>
        <v>1.9999999999999998</v>
      </c>
      <c r="AK7" s="4">
        <f t="shared" si="8"/>
        <v>2.1999999999999997</v>
      </c>
      <c r="AL7" s="4">
        <f t="shared" si="8"/>
        <v>2.4</v>
      </c>
      <c r="AM7" s="4">
        <f t="shared" si="8"/>
        <v>2.6</v>
      </c>
      <c r="AN7" s="4">
        <f t="shared" si="8"/>
        <v>2.8000000000000003</v>
      </c>
    </row>
    <row r="8" spans="1:40" x14ac:dyDescent="0.3">
      <c r="A8" s="1" t="s">
        <v>4</v>
      </c>
      <c r="B8" s="1">
        <v>300</v>
      </c>
      <c r="C8">
        <v>300</v>
      </c>
      <c r="G8" s="25">
        <f t="shared" si="0"/>
        <v>1.4</v>
      </c>
      <c r="H8" s="30">
        <f t="shared" si="1"/>
        <v>4</v>
      </c>
      <c r="I8" s="34">
        <f t="shared" ref="I8:U8" si="9">0.25*(I21+J22+I23+H22)</f>
        <v>4.0526421064459752</v>
      </c>
      <c r="J8" s="34">
        <f t="shared" si="9"/>
        <v>4.1266346239826159</v>
      </c>
      <c r="K8" s="34">
        <f t="shared" si="9"/>
        <v>4.2517900296834314</v>
      </c>
      <c r="L8" s="34">
        <f t="shared" si="9"/>
        <v>4.474171233714344</v>
      </c>
      <c r="M8" s="34">
        <f t="shared" si="9"/>
        <v>4.8432372393719767</v>
      </c>
      <c r="N8" s="34">
        <f t="shared" si="9"/>
        <v>5.2420608884190019</v>
      </c>
      <c r="O8" s="34">
        <f t="shared" si="9"/>
        <v>5.6105811409677324</v>
      </c>
      <c r="P8" s="34">
        <f t="shared" si="9"/>
        <v>5.9287079449440823</v>
      </c>
      <c r="Q8" s="34">
        <f t="shared" si="9"/>
        <v>6.1944145626442637</v>
      </c>
      <c r="R8" s="34">
        <f t="shared" si="9"/>
        <v>6.4131647212713627</v>
      </c>
      <c r="S8" s="34">
        <f t="shared" si="9"/>
        <v>6.5934588330273396</v>
      </c>
      <c r="T8" s="34">
        <f t="shared" si="9"/>
        <v>6.7448746992383004</v>
      </c>
      <c r="U8" s="34">
        <f t="shared" si="9"/>
        <v>6.8771790322891349</v>
      </c>
      <c r="V8" s="31">
        <f t="shared" si="4"/>
        <v>7</v>
      </c>
      <c r="W8" s="27">
        <v>8</v>
      </c>
      <c r="Y8" s="22" t="s">
        <v>12</v>
      </c>
      <c r="Z8" s="4">
        <f>$G10</f>
        <v>1</v>
      </c>
      <c r="AA8" s="4">
        <f t="shared" ref="AA8:AD8" si="10">$G10</f>
        <v>1</v>
      </c>
      <c r="AB8" s="4">
        <f t="shared" si="10"/>
        <v>1</v>
      </c>
      <c r="AC8" s="4">
        <f t="shared" si="10"/>
        <v>1</v>
      </c>
      <c r="AD8" s="4">
        <f t="shared" si="10"/>
        <v>1</v>
      </c>
      <c r="AE8" s="4">
        <f>G11</f>
        <v>0.8</v>
      </c>
      <c r="AF8" s="4">
        <f>G12</f>
        <v>0.60000000000000009</v>
      </c>
      <c r="AG8" s="4">
        <f>G13</f>
        <v>0.4</v>
      </c>
      <c r="AH8" s="4">
        <f>G14</f>
        <v>0.2</v>
      </c>
      <c r="AI8" s="4">
        <f>$G15</f>
        <v>0</v>
      </c>
      <c r="AJ8" s="4">
        <f t="shared" ref="AJ8:AN8" si="11">$G15</f>
        <v>0</v>
      </c>
      <c r="AK8" s="4">
        <f t="shared" si="11"/>
        <v>0</v>
      </c>
      <c r="AL8" s="4">
        <f t="shared" si="11"/>
        <v>0</v>
      </c>
      <c r="AM8" s="4">
        <f t="shared" si="11"/>
        <v>0</v>
      </c>
      <c r="AN8" s="4">
        <f t="shared" si="11"/>
        <v>0</v>
      </c>
    </row>
    <row r="9" spans="1:40" x14ac:dyDescent="0.3">
      <c r="G9" s="25">
        <f t="shared" si="0"/>
        <v>1.2</v>
      </c>
      <c r="H9" s="30">
        <f>H10+$B$4*$B$2</f>
        <v>2</v>
      </c>
      <c r="I9" s="34">
        <f t="shared" ref="I9:U14" si="12">0.25*(I22+J23+I24+H23)</f>
        <v>2.0354233751437012</v>
      </c>
      <c r="J9" s="34">
        <f t="shared" si="12"/>
        <v>2.0890513961841739</v>
      </c>
      <c r="K9" s="34">
        <f t="shared" si="12"/>
        <v>2.194147589988189</v>
      </c>
      <c r="L9" s="34">
        <f t="shared" si="12"/>
        <v>2.4357489421841789</v>
      </c>
      <c r="M9" s="34">
        <f t="shared" si="12"/>
        <v>3.0746769585919971</v>
      </c>
      <c r="N9" s="34">
        <f t="shared" si="12"/>
        <v>3.6922984856763237</v>
      </c>
      <c r="O9" s="34">
        <f t="shared" si="12"/>
        <v>4.2174403054853933</v>
      </c>
      <c r="P9" s="34">
        <f t="shared" si="12"/>
        <v>4.6482311263033083</v>
      </c>
      <c r="Q9" s="34">
        <f t="shared" si="12"/>
        <v>4.9963790874444012</v>
      </c>
      <c r="R9" s="34">
        <f t="shared" si="12"/>
        <v>5.2761852046602016</v>
      </c>
      <c r="S9" s="34">
        <f t="shared" si="12"/>
        <v>5.5023946086763962</v>
      </c>
      <c r="T9" s="34">
        <f t="shared" si="12"/>
        <v>5.6894231720890431</v>
      </c>
      <c r="U9" s="34">
        <f t="shared" si="12"/>
        <v>5.8509700479715772</v>
      </c>
      <c r="V9" s="31">
        <f t="shared" si="4"/>
        <v>6</v>
      </c>
      <c r="W9" s="27">
        <v>7</v>
      </c>
      <c r="Y9" s="22" t="s">
        <v>8</v>
      </c>
      <c r="Z9" s="4">
        <f>H38</f>
        <v>10</v>
      </c>
      <c r="AA9" s="4">
        <f>I38</f>
        <v>10.177116875718506</v>
      </c>
      <c r="AB9" s="4">
        <f t="shared" ref="AB9:AD9" si="13">J38</f>
        <v>10.445256980920869</v>
      </c>
      <c r="AC9" s="4">
        <f t="shared" si="13"/>
        <v>10.970737949940945</v>
      </c>
      <c r="AD9" s="4">
        <f t="shared" si="13"/>
        <v>12.178744710920894</v>
      </c>
      <c r="AE9" s="4">
        <f>M39</f>
        <v>6.6371159657029049</v>
      </c>
      <c r="AF9" s="4">
        <f>N40</f>
        <v>5.0084557299208639</v>
      </c>
      <c r="AG9" s="4">
        <f>O41</f>
        <v>3.993158279835396</v>
      </c>
      <c r="AH9" s="4">
        <f>P42</f>
        <v>3.1416985814568066</v>
      </c>
      <c r="AI9" s="4">
        <f t="shared" ref="AI9:AM9" si="14">Q43</f>
        <v>2.1832321413793334</v>
      </c>
      <c r="AJ9" s="4">
        <f t="shared" si="14"/>
        <v>3.2800235617569942</v>
      </c>
      <c r="AK9" s="4">
        <f t="shared" si="14"/>
        <v>3.9307642264347868</v>
      </c>
      <c r="AL9" s="4">
        <f t="shared" si="14"/>
        <v>4.3713257263338043</v>
      </c>
      <c r="AM9" s="4">
        <f t="shared" si="14"/>
        <v>4.7077636852258209</v>
      </c>
      <c r="AN9" s="4">
        <f>V43</f>
        <v>5</v>
      </c>
    </row>
    <row r="10" spans="1:40" x14ac:dyDescent="0.3">
      <c r="A10" s="1" t="s">
        <v>5</v>
      </c>
      <c r="B10" s="1">
        <v>15</v>
      </c>
      <c r="G10" s="25">
        <f t="shared" si="0"/>
        <v>1</v>
      </c>
      <c r="H10" s="30">
        <v>0</v>
      </c>
      <c r="I10" s="34">
        <v>0</v>
      </c>
      <c r="J10" s="34">
        <v>0</v>
      </c>
      <c r="K10" s="34">
        <v>0</v>
      </c>
      <c r="L10" s="34">
        <v>0</v>
      </c>
      <c r="M10" s="34">
        <f t="shared" si="12"/>
        <v>1.3274231931405811</v>
      </c>
      <c r="N10" s="34">
        <f t="shared" si="12"/>
        <v>2.2350158287552464</v>
      </c>
      <c r="O10" s="34">
        <f t="shared" si="12"/>
        <v>2.9186505221876633</v>
      </c>
      <c r="P10" s="34">
        <f t="shared" si="12"/>
        <v>3.4503972282043409</v>
      </c>
      <c r="Q10" s="34">
        <f t="shared" si="12"/>
        <v>3.8666855239550637</v>
      </c>
      <c r="R10" s="34">
        <f t="shared" si="12"/>
        <v>4.192802464744295</v>
      </c>
      <c r="S10" s="34">
        <f t="shared" si="12"/>
        <v>4.4505112819815373</v>
      </c>
      <c r="T10" s="34">
        <f t="shared" si="12"/>
        <v>4.6594533729664791</v>
      </c>
      <c r="U10" s="34">
        <f t="shared" si="12"/>
        <v>4.8372780097724029</v>
      </c>
      <c r="V10" s="31">
        <f t="shared" si="4"/>
        <v>5</v>
      </c>
      <c r="W10" s="27">
        <v>6</v>
      </c>
      <c r="Y10" s="22" t="s">
        <v>9</v>
      </c>
      <c r="Z10" s="4">
        <f>H52</f>
        <v>0</v>
      </c>
      <c r="AA10" s="4">
        <f t="shared" ref="AA10:AD10" si="15">I52</f>
        <v>0</v>
      </c>
      <c r="AB10" s="4">
        <f t="shared" si="15"/>
        <v>0</v>
      </c>
      <c r="AC10" s="4">
        <f t="shared" si="15"/>
        <v>0</v>
      </c>
      <c r="AD10" s="4">
        <f t="shared" si="15"/>
        <v>-3.3185579828514524</v>
      </c>
      <c r="AE10" s="4">
        <f>M53</f>
        <v>-5.0084557299208639</v>
      </c>
      <c r="AF10" s="4">
        <f>N54</f>
        <v>-3.993158279835396</v>
      </c>
      <c r="AG10" s="4">
        <f>O55</f>
        <v>-3.1416985814568066</v>
      </c>
      <c r="AH10" s="4">
        <f>P56</f>
        <v>-2.1832321413793334</v>
      </c>
      <c r="AI10" s="4">
        <f>Q57</f>
        <v>0</v>
      </c>
      <c r="AJ10" s="4">
        <f t="shared" ref="AJ10:AN10" si="16">R57</f>
        <v>0</v>
      </c>
      <c r="AK10" s="4">
        <f t="shared" si="16"/>
        <v>0</v>
      </c>
      <c r="AL10" s="4">
        <f t="shared" si="16"/>
        <v>0</v>
      </c>
      <c r="AM10" s="4">
        <f t="shared" si="16"/>
        <v>0</v>
      </c>
      <c r="AN10" s="4">
        <f t="shared" si="16"/>
        <v>0</v>
      </c>
    </row>
    <row r="11" spans="1:40" x14ac:dyDescent="0.3">
      <c r="A11" s="1" t="s">
        <v>6</v>
      </c>
      <c r="B11" s="1">
        <v>11</v>
      </c>
      <c r="G11" s="25">
        <f t="shared" si="0"/>
        <v>0.8</v>
      </c>
      <c r="H11" s="10"/>
      <c r="I11" s="10"/>
      <c r="J11" s="10"/>
      <c r="K11" s="10"/>
      <c r="L11" s="10"/>
      <c r="M11" s="31">
        <v>0</v>
      </c>
      <c r="N11" s="34">
        <f t="shared" si="12"/>
        <v>1.0016911459841729</v>
      </c>
      <c r="O11" s="34">
        <f t="shared" si="12"/>
        <v>1.7717487723234224</v>
      </c>
      <c r="P11" s="34">
        <f t="shared" si="12"/>
        <v>2.3680218004020603</v>
      </c>
      <c r="Q11" s="34">
        <f t="shared" si="12"/>
        <v>2.8271633796161399</v>
      </c>
      <c r="R11" s="34">
        <f t="shared" si="12"/>
        <v>3.1778279143367341</v>
      </c>
      <c r="S11" s="34">
        <f t="shared" si="12"/>
        <v>3.4473947372538918</v>
      </c>
      <c r="T11" s="34">
        <f t="shared" si="12"/>
        <v>3.6606010708649892</v>
      </c>
      <c r="U11" s="34">
        <f t="shared" si="12"/>
        <v>3.8386886401185127</v>
      </c>
      <c r="V11" s="31">
        <f t="shared" si="4"/>
        <v>4</v>
      </c>
      <c r="W11" s="27">
        <v>5</v>
      </c>
      <c r="Y11" s="22" t="s">
        <v>13</v>
      </c>
      <c r="Z11" s="4">
        <f>((Z9)^2+(Z10)^2)^0.5</f>
        <v>10</v>
      </c>
      <c r="AA11" s="4">
        <f t="shared" ref="AA11:AN11" si="17">((AA9)^2+(AA10)^2)^0.5</f>
        <v>10.177116875718506</v>
      </c>
      <c r="AB11" s="4">
        <f t="shared" si="17"/>
        <v>10.445256980920869</v>
      </c>
      <c r="AC11" s="4">
        <f t="shared" si="17"/>
        <v>10.970737949940945</v>
      </c>
      <c r="AD11" s="4">
        <f t="shared" si="17"/>
        <v>12.622782966498741</v>
      </c>
      <c r="AE11" s="4">
        <f t="shared" si="17"/>
        <v>8.314802291141115</v>
      </c>
      <c r="AF11" s="4">
        <f t="shared" si="17"/>
        <v>6.4054618761175304</v>
      </c>
      <c r="AG11" s="4">
        <f t="shared" si="17"/>
        <v>5.0809037606065406</v>
      </c>
      <c r="AH11" s="4">
        <f t="shared" si="17"/>
        <v>3.8258035182010457</v>
      </c>
      <c r="AI11" s="4">
        <f t="shared" si="17"/>
        <v>2.1832321413793334</v>
      </c>
      <c r="AJ11" s="4">
        <f t="shared" si="17"/>
        <v>3.2800235617569942</v>
      </c>
      <c r="AK11" s="4">
        <f t="shared" si="17"/>
        <v>3.9307642264347868</v>
      </c>
      <c r="AL11" s="4">
        <f t="shared" si="17"/>
        <v>4.3713257263338043</v>
      </c>
      <c r="AM11" s="4">
        <f t="shared" si="17"/>
        <v>4.7077636852258209</v>
      </c>
      <c r="AN11" s="4">
        <f t="shared" si="17"/>
        <v>5</v>
      </c>
    </row>
    <row r="12" spans="1:40" x14ac:dyDescent="0.3">
      <c r="A12" s="1" t="s">
        <v>16</v>
      </c>
      <c r="B12" s="1">
        <v>15</v>
      </c>
      <c r="F12" s="5"/>
      <c r="G12" s="25">
        <f t="shared" si="0"/>
        <v>0.60000000000000009</v>
      </c>
      <c r="H12" s="10"/>
      <c r="I12" s="10"/>
      <c r="J12" s="10"/>
      <c r="K12" s="10"/>
      <c r="L12" s="10"/>
      <c r="M12" s="10"/>
      <c r="N12" s="31">
        <v>0</v>
      </c>
      <c r="O12" s="34">
        <f t="shared" si="12"/>
        <v>0.79863165596707919</v>
      </c>
      <c r="P12" s="34">
        <f t="shared" si="12"/>
        <v>1.4227778691455795</v>
      </c>
      <c r="Q12" s="34">
        <f t="shared" si="12"/>
        <v>1.8961183376882009</v>
      </c>
      <c r="R12" s="34">
        <f t="shared" si="12"/>
        <v>2.2439511326791064</v>
      </c>
      <c r="S12" s="34">
        <f t="shared" si="12"/>
        <v>2.5006387344439092</v>
      </c>
      <c r="T12" s="34">
        <f t="shared" si="12"/>
        <v>2.6968675710597356</v>
      </c>
      <c r="U12" s="34">
        <f t="shared" si="12"/>
        <v>2.856875500864505</v>
      </c>
      <c r="V12" s="31">
        <f t="shared" si="4"/>
        <v>3</v>
      </c>
      <c r="W12" s="27">
        <v>4</v>
      </c>
      <c r="Y12" s="22" t="s">
        <v>14</v>
      </c>
      <c r="Z12" s="8">
        <f>B5</f>
        <v>101325</v>
      </c>
      <c r="AA12" s="8">
        <f>(Z12+(Z11^2)/2)-(AA11^2)/2</f>
        <v>101323.21314604898</v>
      </c>
      <c r="AB12" s="8">
        <f t="shared" ref="AB12:AN12" si="18">(AA12+(AA11^2)/2)-(AB11^2)/2</f>
        <v>101320.44830330127</v>
      </c>
      <c r="AC12" s="8">
        <f t="shared" si="18"/>
        <v>101314.82145441686</v>
      </c>
      <c r="AD12" s="8">
        <f t="shared" si="18"/>
        <v>101295.33267509034</v>
      </c>
      <c r="AE12" s="8">
        <f t="shared" si="18"/>
        <v>101340.43203142962</v>
      </c>
      <c r="AF12" s="8">
        <f t="shared" si="18"/>
        <v>101354.48502907681</v>
      </c>
      <c r="AG12" s="8">
        <f t="shared" si="18"/>
        <v>101362.09220848772</v>
      </c>
      <c r="AH12" s="8">
        <f t="shared" si="18"/>
        <v>101367.68161372007</v>
      </c>
      <c r="AI12" s="8">
        <f t="shared" si="18"/>
        <v>101372.61674870843</v>
      </c>
      <c r="AJ12" s="8">
        <f t="shared" si="18"/>
        <v>101369.62072271715</v>
      </c>
      <c r="AK12" s="8">
        <f t="shared" si="18"/>
        <v>101367.2745462981</v>
      </c>
      <c r="AL12" s="8">
        <f t="shared" si="18"/>
        <v>101365.44575569715</v>
      </c>
      <c r="AM12" s="8">
        <f t="shared" si="18"/>
        <v>101363.91848054204</v>
      </c>
      <c r="AN12" s="8">
        <f t="shared" si="18"/>
        <v>101362.5</v>
      </c>
    </row>
    <row r="13" spans="1:40" x14ac:dyDescent="0.3">
      <c r="A13" s="1" t="s">
        <v>17</v>
      </c>
      <c r="B13" s="1">
        <v>6</v>
      </c>
      <c r="G13" s="25">
        <f t="shared" si="0"/>
        <v>0.4</v>
      </c>
      <c r="H13" s="10"/>
      <c r="I13" s="10"/>
      <c r="J13" s="10"/>
      <c r="K13" s="10"/>
      <c r="L13" s="10"/>
      <c r="M13" s="10"/>
      <c r="N13" s="10"/>
      <c r="O13" s="31">
        <v>0</v>
      </c>
      <c r="P13" s="34">
        <f t="shared" si="12"/>
        <v>0.62833971629136132</v>
      </c>
      <c r="Q13" s="34">
        <f t="shared" si="12"/>
        <v>1.0905810115475705</v>
      </c>
      <c r="R13" s="34">
        <f t="shared" si="12"/>
        <v>1.4012195910538192</v>
      </c>
      <c r="S13" s="34">
        <f t="shared" si="12"/>
        <v>1.6143415379003314</v>
      </c>
      <c r="T13" s="34">
        <f t="shared" si="12"/>
        <v>1.7693550103445033</v>
      </c>
      <c r="U13" s="34">
        <f t="shared" si="12"/>
        <v>1.8919458089999575</v>
      </c>
      <c r="V13" s="31">
        <f t="shared" si="4"/>
        <v>2</v>
      </c>
      <c r="W13" s="27">
        <v>3</v>
      </c>
      <c r="Y13" s="22" t="s">
        <v>15</v>
      </c>
      <c r="Z13" s="4">
        <f>(Z12-$B$5)/(($B$4^2)/2)</f>
        <v>0</v>
      </c>
      <c r="AA13" s="4">
        <f t="shared" ref="AA13:AN13" si="19">(AA12-$B$5)/(($B$4^2)/2)</f>
        <v>-3.5737079020473177E-2</v>
      </c>
      <c r="AB13" s="4">
        <f t="shared" si="19"/>
        <v>-9.1033933974686079E-2</v>
      </c>
      <c r="AC13" s="4">
        <f t="shared" si="19"/>
        <v>-0.2035709116628277</v>
      </c>
      <c r="AD13" s="4">
        <f t="shared" si="19"/>
        <v>-0.59334649819327756</v>
      </c>
      <c r="AE13" s="4">
        <f t="shared" si="19"/>
        <v>0.30864062859240221</v>
      </c>
      <c r="AF13" s="4">
        <f t="shared" si="19"/>
        <v>0.58970058153616267</v>
      </c>
      <c r="AG13" s="4">
        <f t="shared" si="19"/>
        <v>0.74184416975447676</v>
      </c>
      <c r="AH13" s="4">
        <f t="shared" si="19"/>
        <v>0.85363227440131595</v>
      </c>
      <c r="AI13" s="4">
        <f t="shared" si="19"/>
        <v>0.95233497416862523</v>
      </c>
      <c r="AJ13" s="4">
        <f t="shared" si="19"/>
        <v>0.89241445434308841</v>
      </c>
      <c r="AK13" s="4">
        <f t="shared" si="19"/>
        <v>0.84549092596193076</v>
      </c>
      <c r="AL13" s="4">
        <f t="shared" si="19"/>
        <v>0.80891511394293047</v>
      </c>
      <c r="AM13" s="4">
        <f t="shared" si="19"/>
        <v>0.77836961084074574</v>
      </c>
      <c r="AN13" s="4">
        <f t="shared" si="19"/>
        <v>0.75</v>
      </c>
    </row>
    <row r="14" spans="1:40" x14ac:dyDescent="0.3">
      <c r="A14" s="2" t="s">
        <v>7</v>
      </c>
      <c r="B14" s="1">
        <v>0</v>
      </c>
      <c r="G14" s="25">
        <f>G15+B$2</f>
        <v>0.2</v>
      </c>
      <c r="H14" s="10"/>
      <c r="I14" s="10"/>
      <c r="J14" s="10"/>
      <c r="K14" s="10"/>
      <c r="L14" s="10"/>
      <c r="M14" s="10"/>
      <c r="N14" s="10"/>
      <c r="O14" s="10"/>
      <c r="P14" s="31">
        <v>0</v>
      </c>
      <c r="Q14" s="34">
        <f t="shared" si="12"/>
        <v>0.43664642827586669</v>
      </c>
      <c r="R14" s="34">
        <f t="shared" si="12"/>
        <v>0.6560047123513989</v>
      </c>
      <c r="S14" s="34">
        <f t="shared" si="12"/>
        <v>0.78615284528695739</v>
      </c>
      <c r="T14" s="34">
        <f t="shared" si="12"/>
        <v>0.87426514526676091</v>
      </c>
      <c r="U14" s="34">
        <f t="shared" si="12"/>
        <v>0.94155273704516429</v>
      </c>
      <c r="V14" s="31">
        <f>V15+$B$6*$B$2</f>
        <v>1</v>
      </c>
      <c r="W14" s="27">
        <v>2</v>
      </c>
    </row>
    <row r="15" spans="1:40" x14ac:dyDescent="0.3">
      <c r="G15" s="25">
        <v>0</v>
      </c>
      <c r="H15" s="10"/>
      <c r="I15" s="10"/>
      <c r="J15" s="10"/>
      <c r="K15" s="10"/>
      <c r="L15" s="10"/>
      <c r="M15" s="10"/>
      <c r="N15" s="10"/>
      <c r="O15" s="10"/>
      <c r="P15" s="10"/>
      <c r="Q15" s="32">
        <v>0</v>
      </c>
      <c r="R15" s="32">
        <v>0</v>
      </c>
      <c r="S15" s="32">
        <v>0</v>
      </c>
      <c r="T15" s="32">
        <v>0</v>
      </c>
      <c r="U15" s="32">
        <v>0</v>
      </c>
      <c r="V15" s="32">
        <v>0</v>
      </c>
      <c r="W15" s="27">
        <v>1</v>
      </c>
    </row>
    <row r="16" spans="1:40" x14ac:dyDescent="0.3">
      <c r="G16" s="10"/>
      <c r="H16" s="25">
        <v>0</v>
      </c>
      <c r="I16" s="25">
        <f>H16+$B$2</f>
        <v>0.2</v>
      </c>
      <c r="J16" s="25">
        <f t="shared" ref="J16:V16" si="20">I16+$B$2</f>
        <v>0.4</v>
      </c>
      <c r="K16" s="25">
        <f t="shared" si="20"/>
        <v>0.60000000000000009</v>
      </c>
      <c r="L16" s="25">
        <f t="shared" si="20"/>
        <v>0.8</v>
      </c>
      <c r="M16" s="25">
        <f t="shared" si="20"/>
        <v>1</v>
      </c>
      <c r="N16" s="25">
        <f t="shared" si="20"/>
        <v>1.2</v>
      </c>
      <c r="O16" s="25">
        <f t="shared" si="20"/>
        <v>1.4</v>
      </c>
      <c r="P16" s="25">
        <f t="shared" si="20"/>
        <v>1.5999999999999999</v>
      </c>
      <c r="Q16" s="25">
        <f t="shared" si="20"/>
        <v>1.7999999999999998</v>
      </c>
      <c r="R16" s="25">
        <f t="shared" si="20"/>
        <v>1.9999999999999998</v>
      </c>
      <c r="S16" s="25">
        <f t="shared" si="20"/>
        <v>2.1999999999999997</v>
      </c>
      <c r="T16" s="25">
        <f t="shared" si="20"/>
        <v>2.4</v>
      </c>
      <c r="U16" s="25">
        <f t="shared" si="20"/>
        <v>2.6</v>
      </c>
      <c r="V16" s="25">
        <f t="shared" si="20"/>
        <v>2.8000000000000003</v>
      </c>
      <c r="W16" s="3"/>
    </row>
    <row r="17" spans="7:40" x14ac:dyDescent="0.3"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</row>
    <row r="18" spans="7:40" x14ac:dyDescent="0.3">
      <c r="G18" s="10"/>
      <c r="H18" s="26">
        <v>1</v>
      </c>
      <c r="I18" s="26">
        <v>2</v>
      </c>
      <c r="J18" s="26">
        <v>3</v>
      </c>
      <c r="K18" s="26">
        <v>4</v>
      </c>
      <c r="L18" s="26">
        <v>5</v>
      </c>
      <c r="M18" s="26">
        <v>6</v>
      </c>
      <c r="N18" s="26">
        <v>7</v>
      </c>
      <c r="O18" s="26">
        <v>8</v>
      </c>
      <c r="P18" s="26">
        <v>9</v>
      </c>
      <c r="Q18" s="26">
        <v>10</v>
      </c>
      <c r="R18" s="26">
        <v>11</v>
      </c>
      <c r="S18" s="26">
        <v>12</v>
      </c>
      <c r="T18" s="26">
        <v>13</v>
      </c>
      <c r="U18" s="26">
        <v>14</v>
      </c>
      <c r="V18" s="26">
        <v>15</v>
      </c>
      <c r="W18" s="6"/>
      <c r="Y18" s="24">
        <v>0</v>
      </c>
      <c r="Z18" s="24">
        <v>1</v>
      </c>
      <c r="AA18" s="24">
        <v>2</v>
      </c>
      <c r="AB18" s="24">
        <v>3</v>
      </c>
      <c r="AC18" s="24">
        <v>4</v>
      </c>
      <c r="AD18" s="24">
        <v>5</v>
      </c>
      <c r="AE18" s="24">
        <v>6</v>
      </c>
      <c r="AF18" s="24">
        <v>7</v>
      </c>
      <c r="AG18" s="24">
        <v>8</v>
      </c>
      <c r="AH18" s="24">
        <v>9</v>
      </c>
      <c r="AI18" s="24">
        <v>10</v>
      </c>
      <c r="AJ18" s="24">
        <v>11</v>
      </c>
      <c r="AK18" s="24">
        <v>12</v>
      </c>
      <c r="AL18" s="24">
        <v>13</v>
      </c>
      <c r="AM18" s="24">
        <v>14</v>
      </c>
      <c r="AN18" s="24">
        <v>15</v>
      </c>
    </row>
    <row r="19" spans="7:40" x14ac:dyDescent="0.3">
      <c r="G19" s="25">
        <f t="shared" ref="G19:G27" si="21">G20+B$2</f>
        <v>1.9999999999999998</v>
      </c>
      <c r="H19" s="12">
        <v>10</v>
      </c>
      <c r="I19" s="13">
        <v>10</v>
      </c>
      <c r="J19" s="13">
        <v>10</v>
      </c>
      <c r="K19" s="13">
        <v>10</v>
      </c>
      <c r="L19" s="13">
        <v>10</v>
      </c>
      <c r="M19" s="13">
        <v>10</v>
      </c>
      <c r="N19" s="13">
        <v>10</v>
      </c>
      <c r="O19" s="13">
        <v>10</v>
      </c>
      <c r="P19" s="13">
        <v>10</v>
      </c>
      <c r="Q19" s="13">
        <v>10</v>
      </c>
      <c r="R19" s="13">
        <v>10</v>
      </c>
      <c r="S19" s="13">
        <v>10</v>
      </c>
      <c r="T19" s="13">
        <v>10</v>
      </c>
      <c r="U19" s="13">
        <v>10</v>
      </c>
      <c r="V19" s="13">
        <v>10</v>
      </c>
      <c r="W19" s="6"/>
      <c r="Y19" s="23" t="s">
        <v>7</v>
      </c>
      <c r="Z19" s="4">
        <f>H5</f>
        <v>10</v>
      </c>
      <c r="AA19" s="4">
        <f t="shared" ref="AA19:AN19" si="22">I5</f>
        <v>10</v>
      </c>
      <c r="AB19" s="4">
        <f t="shared" si="22"/>
        <v>10</v>
      </c>
      <c r="AC19" s="4">
        <f t="shared" si="22"/>
        <v>10</v>
      </c>
      <c r="AD19" s="4">
        <f t="shared" si="22"/>
        <v>10</v>
      </c>
      <c r="AE19" s="4">
        <f t="shared" si="22"/>
        <v>10</v>
      </c>
      <c r="AF19" s="4">
        <f t="shared" si="22"/>
        <v>10</v>
      </c>
      <c r="AG19" s="4">
        <f t="shared" si="22"/>
        <v>10</v>
      </c>
      <c r="AH19" s="4">
        <f t="shared" si="22"/>
        <v>10</v>
      </c>
      <c r="AI19" s="4">
        <f t="shared" si="22"/>
        <v>10</v>
      </c>
      <c r="AJ19" s="4">
        <f t="shared" si="22"/>
        <v>10</v>
      </c>
      <c r="AK19" s="4">
        <f t="shared" si="22"/>
        <v>10</v>
      </c>
      <c r="AL19" s="4">
        <f t="shared" si="22"/>
        <v>10</v>
      </c>
      <c r="AM19" s="4">
        <f t="shared" si="22"/>
        <v>10</v>
      </c>
      <c r="AN19" s="4">
        <f t="shared" si="22"/>
        <v>10</v>
      </c>
    </row>
    <row r="20" spans="7:40" x14ac:dyDescent="0.3">
      <c r="G20" s="25">
        <f t="shared" si="21"/>
        <v>1.7999999999999998</v>
      </c>
      <c r="H20" s="12">
        <v>8</v>
      </c>
      <c r="I20" s="11">
        <v>8.0283446446366185</v>
      </c>
      <c r="J20" s="11">
        <v>8.0648681515861966</v>
      </c>
      <c r="K20" s="11">
        <v>8.1180729969834662</v>
      </c>
      <c r="L20" s="11">
        <v>8.1952171636329254</v>
      </c>
      <c r="M20" s="11">
        <v>8.2968869294864849</v>
      </c>
      <c r="N20" s="11">
        <v>8.410290670388207</v>
      </c>
      <c r="O20" s="11">
        <v>8.5221490509784452</v>
      </c>
      <c r="P20" s="11">
        <v>8.6241900925606156</v>
      </c>
      <c r="Q20" s="11">
        <v>8.7130063475733515</v>
      </c>
      <c r="R20" s="11">
        <v>8.7884287798932164</v>
      </c>
      <c r="S20" s="11">
        <v>8.852108464208337</v>
      </c>
      <c r="T20" s="11">
        <v>8.9066037562005658</v>
      </c>
      <c r="U20" s="11">
        <v>8.9548687862825691</v>
      </c>
      <c r="V20" s="13">
        <v>9</v>
      </c>
      <c r="W20" s="6"/>
      <c r="Y20" s="22" t="s">
        <v>11</v>
      </c>
      <c r="Z20" s="4">
        <f>H30</f>
        <v>0</v>
      </c>
      <c r="AA20" s="4">
        <f t="shared" ref="AA20:AN20" si="23">I30</f>
        <v>0.2</v>
      </c>
      <c r="AB20" s="4">
        <f t="shared" si="23"/>
        <v>0.4</v>
      </c>
      <c r="AC20" s="4">
        <f t="shared" si="23"/>
        <v>0.60000000000000009</v>
      </c>
      <c r="AD20" s="4">
        <f t="shared" si="23"/>
        <v>0.8</v>
      </c>
      <c r="AE20" s="4">
        <f t="shared" si="23"/>
        <v>1</v>
      </c>
      <c r="AF20" s="4">
        <f t="shared" si="23"/>
        <v>1.2</v>
      </c>
      <c r="AG20" s="4">
        <f t="shared" si="23"/>
        <v>1.4</v>
      </c>
      <c r="AH20" s="4">
        <f t="shared" si="23"/>
        <v>1.5999999999999999</v>
      </c>
      <c r="AI20" s="4">
        <f t="shared" si="23"/>
        <v>1.7999999999999998</v>
      </c>
      <c r="AJ20" s="4">
        <f t="shared" si="23"/>
        <v>1.9999999999999998</v>
      </c>
      <c r="AK20" s="4">
        <f t="shared" si="23"/>
        <v>2.1999999999999997</v>
      </c>
      <c r="AL20" s="4">
        <f t="shared" si="23"/>
        <v>2.4</v>
      </c>
      <c r="AM20" s="4">
        <f t="shared" si="23"/>
        <v>2.6</v>
      </c>
      <c r="AN20" s="4">
        <f t="shared" si="23"/>
        <v>2.8000000000000003</v>
      </c>
    </row>
    <row r="21" spans="7:40" x14ac:dyDescent="0.3">
      <c r="G21" s="25">
        <f t="shared" si="21"/>
        <v>1.5999999999999999</v>
      </c>
      <c r="H21" s="12">
        <v>6</v>
      </c>
      <c r="I21" s="11">
        <v>6.0485104289698821</v>
      </c>
      <c r="J21" s="11">
        <v>6.1130549688493172</v>
      </c>
      <c r="K21" s="11">
        <v>6.2122066797623905</v>
      </c>
      <c r="L21" s="11">
        <v>6.3659087381646478</v>
      </c>
      <c r="M21" s="11">
        <v>6.5820398984502706</v>
      </c>
      <c r="N21" s="11">
        <v>6.8221267191715951</v>
      </c>
      <c r="O21" s="11">
        <v>7.0541154634856973</v>
      </c>
      <c r="P21" s="11">
        <v>7.2616049958911679</v>
      </c>
      <c r="Q21" s="11">
        <v>7.4394065437434875</v>
      </c>
      <c r="R21" s="11">
        <v>7.588600331446564</v>
      </c>
      <c r="S21" s="11">
        <v>7.7134013416527569</v>
      </c>
      <c r="T21" s="11">
        <v>7.8194377890090232</v>
      </c>
      <c r="U21" s="11">
        <v>7.9128713969669358</v>
      </c>
      <c r="V21" s="13">
        <v>8</v>
      </c>
      <c r="W21" s="6"/>
      <c r="Y21" s="22" t="s">
        <v>12</v>
      </c>
      <c r="Z21" s="4">
        <f>$G$19</f>
        <v>1.9999999999999998</v>
      </c>
      <c r="AA21" s="4">
        <f t="shared" ref="AA21:AN21" si="24">$G$19</f>
        <v>1.9999999999999998</v>
      </c>
      <c r="AB21" s="4">
        <f t="shared" si="24"/>
        <v>1.9999999999999998</v>
      </c>
      <c r="AC21" s="4">
        <f t="shared" si="24"/>
        <v>1.9999999999999998</v>
      </c>
      <c r="AD21" s="4">
        <f t="shared" si="24"/>
        <v>1.9999999999999998</v>
      </c>
      <c r="AE21" s="4">
        <f t="shared" si="24"/>
        <v>1.9999999999999998</v>
      </c>
      <c r="AF21" s="4">
        <f t="shared" si="24"/>
        <v>1.9999999999999998</v>
      </c>
      <c r="AG21" s="4">
        <f t="shared" si="24"/>
        <v>1.9999999999999998</v>
      </c>
      <c r="AH21" s="4">
        <f t="shared" si="24"/>
        <v>1.9999999999999998</v>
      </c>
      <c r="AI21" s="4">
        <f t="shared" si="24"/>
        <v>1.9999999999999998</v>
      </c>
      <c r="AJ21" s="4">
        <f t="shared" si="24"/>
        <v>1.9999999999999998</v>
      </c>
      <c r="AK21" s="4">
        <f t="shared" si="24"/>
        <v>1.9999999999999998</v>
      </c>
      <c r="AL21" s="4">
        <f t="shared" si="24"/>
        <v>1.9999999999999998</v>
      </c>
      <c r="AM21" s="4">
        <f t="shared" si="24"/>
        <v>1.9999999999999998</v>
      </c>
      <c r="AN21" s="4">
        <f t="shared" si="24"/>
        <v>1.9999999999999998</v>
      </c>
    </row>
    <row r="22" spans="7:40" x14ac:dyDescent="0.3">
      <c r="G22" s="25">
        <f t="shared" si="21"/>
        <v>1.4</v>
      </c>
      <c r="H22" s="12">
        <v>4</v>
      </c>
      <c r="I22" s="11">
        <v>4.0526421055919997</v>
      </c>
      <c r="J22" s="11">
        <v>4.1266346221944952</v>
      </c>
      <c r="K22" s="11">
        <v>4.2517900265063417</v>
      </c>
      <c r="L22" s="11">
        <v>4.4741712288541624</v>
      </c>
      <c r="M22" s="11">
        <v>4.8432372317227754</v>
      </c>
      <c r="N22" s="11">
        <v>5.2420608782236009</v>
      </c>
      <c r="O22" s="11">
        <v>5.6105811276833002</v>
      </c>
      <c r="P22" s="11">
        <v>5.9287079302422629</v>
      </c>
      <c r="Q22" s="11">
        <v>6.1944145466012808</v>
      </c>
      <c r="R22" s="11">
        <v>6.4131647064342978</v>
      </c>
      <c r="S22" s="11">
        <v>6.5934588198020414</v>
      </c>
      <c r="T22" s="11">
        <v>6.7448746898961236</v>
      </c>
      <c r="U22" s="11">
        <v>6.8771790271662683</v>
      </c>
      <c r="V22" s="13">
        <v>7</v>
      </c>
      <c r="W22" s="6"/>
      <c r="Y22" s="22" t="s">
        <v>8</v>
      </c>
      <c r="Z22" s="4">
        <f>H34</f>
        <v>10</v>
      </c>
      <c r="AA22" s="4">
        <f t="shared" ref="AA22:AN22" si="25">I34</f>
        <v>9.8787239255762884</v>
      </c>
      <c r="AB22" s="4">
        <f t="shared" si="25"/>
        <v>9.7173625734293978</v>
      </c>
      <c r="AC22" s="4">
        <f t="shared" si="25"/>
        <v>9.4694832934351414</v>
      </c>
      <c r="AD22" s="4">
        <f t="shared" si="25"/>
        <v>9.0852281433126549</v>
      </c>
      <c r="AE22" s="4">
        <f t="shared" si="25"/>
        <v>8.5449002384090598</v>
      </c>
      <c r="AF22" s="4">
        <f t="shared" si="25"/>
        <v>7.9446831809076413</v>
      </c>
      <c r="AG22" s="4">
        <f t="shared" si="25"/>
        <v>7.3647113164221807</v>
      </c>
      <c r="AH22" s="4">
        <f t="shared" si="25"/>
        <v>6.8459874812299599</v>
      </c>
      <c r="AI22" s="4">
        <f t="shared" si="25"/>
        <v>6.401483611554772</v>
      </c>
      <c r="AJ22" s="4">
        <f t="shared" si="25"/>
        <v>6.0284991426726515</v>
      </c>
      <c r="AK22" s="4">
        <f t="shared" si="25"/>
        <v>5.716496622208771</v>
      </c>
      <c r="AL22" s="4">
        <f t="shared" si="25"/>
        <v>5.4514055095522629</v>
      </c>
      <c r="AM22" s="4">
        <f t="shared" si="25"/>
        <v>5.2178214984638389</v>
      </c>
      <c r="AN22" s="4">
        <f t="shared" si="25"/>
        <v>5</v>
      </c>
    </row>
    <row r="23" spans="7:40" x14ac:dyDescent="0.3">
      <c r="G23" s="25">
        <f t="shared" si="21"/>
        <v>1.2</v>
      </c>
      <c r="H23" s="12">
        <v>2</v>
      </c>
      <c r="I23" s="11">
        <v>2.0354233746195223</v>
      </c>
      <c r="J23" s="11">
        <v>2.0890513949828051</v>
      </c>
      <c r="K23" s="11">
        <v>2.1941475879226782</v>
      </c>
      <c r="L23" s="11">
        <v>2.4357489384636093</v>
      </c>
      <c r="M23" s="11">
        <v>3.0746769519598742</v>
      </c>
      <c r="N23" s="11">
        <v>3.6922984750983376</v>
      </c>
      <c r="O23" s="11">
        <v>4.2174402919193685</v>
      </c>
      <c r="P23" s="11">
        <v>4.6482311096005819</v>
      </c>
      <c r="Q23" s="11">
        <v>4.9963790701570057</v>
      </c>
      <c r="R23" s="11">
        <v>5.2761851872355647</v>
      </c>
      <c r="S23" s="11">
        <v>5.50239459412618</v>
      </c>
      <c r="T23" s="11">
        <v>5.6894231609758679</v>
      </c>
      <c r="U23" s="11">
        <v>5.8509700422934792</v>
      </c>
      <c r="V23" s="13">
        <v>6</v>
      </c>
      <c r="W23" s="6"/>
      <c r="Y23" s="22" t="s">
        <v>9</v>
      </c>
      <c r="Z23" s="4">
        <f>H47</f>
        <v>0</v>
      </c>
      <c r="AA23" s="4">
        <f t="shared" ref="AA23:AN23" si="26">I47</f>
        <v>0</v>
      </c>
      <c r="AB23" s="4">
        <f t="shared" si="26"/>
        <v>0</v>
      </c>
      <c r="AC23" s="4">
        <f t="shared" si="26"/>
        <v>0</v>
      </c>
      <c r="AD23" s="4">
        <f t="shared" si="26"/>
        <v>0</v>
      </c>
      <c r="AE23" s="4">
        <f t="shared" si="26"/>
        <v>0</v>
      </c>
      <c r="AF23" s="4">
        <f t="shared" si="26"/>
        <v>0</v>
      </c>
      <c r="AG23" s="4">
        <f t="shared" si="26"/>
        <v>0</v>
      </c>
      <c r="AH23" s="4">
        <f t="shared" si="26"/>
        <v>0</v>
      </c>
      <c r="AI23" s="4">
        <f t="shared" si="26"/>
        <v>0</v>
      </c>
      <c r="AJ23" s="4">
        <f t="shared" si="26"/>
        <v>0</v>
      </c>
      <c r="AK23" s="4">
        <f t="shared" si="26"/>
        <v>0</v>
      </c>
      <c r="AL23" s="4">
        <f t="shared" si="26"/>
        <v>0</v>
      </c>
      <c r="AM23" s="4">
        <f t="shared" si="26"/>
        <v>0</v>
      </c>
      <c r="AN23" s="4">
        <f t="shared" si="26"/>
        <v>0</v>
      </c>
    </row>
    <row r="24" spans="7:40" x14ac:dyDescent="0.3">
      <c r="G24" s="25">
        <f t="shared" si="21"/>
        <v>1</v>
      </c>
      <c r="H24" s="12">
        <v>0</v>
      </c>
      <c r="I24" s="13">
        <v>0</v>
      </c>
      <c r="J24" s="13">
        <v>0</v>
      </c>
      <c r="K24" s="13">
        <v>0</v>
      </c>
      <c r="L24" s="13">
        <v>0</v>
      </c>
      <c r="M24" s="11">
        <v>1.3274231890832664</v>
      </c>
      <c r="N24" s="11">
        <v>2.2350158206024502</v>
      </c>
      <c r="O24" s="11">
        <v>2.9186505095593542</v>
      </c>
      <c r="P24" s="11">
        <v>3.4503972128945923</v>
      </c>
      <c r="Q24" s="11">
        <v>3.8666855063401755</v>
      </c>
      <c r="R24" s="11">
        <v>4.1928024479233228</v>
      </c>
      <c r="S24" s="11">
        <v>4.4505112666921089</v>
      </c>
      <c r="T24" s="11">
        <v>4.6594533620403897</v>
      </c>
      <c r="U24" s="11">
        <v>4.8372780037441734</v>
      </c>
      <c r="V24" s="13">
        <v>5</v>
      </c>
      <c r="W24" s="6"/>
      <c r="Y24" s="22" t="s">
        <v>13</v>
      </c>
      <c r="Z24" s="4">
        <f>((Z22)^2+(Z23)^2)^0.5</f>
        <v>10</v>
      </c>
      <c r="AA24" s="4">
        <f t="shared" ref="AA24" si="27">((AA22)^2+(AA23)^2)^0.5</f>
        <v>9.8787239255762884</v>
      </c>
      <c r="AB24" s="4">
        <f t="shared" ref="AB24" si="28">((AB22)^2+(AB23)^2)^0.5</f>
        <v>9.7173625734293978</v>
      </c>
      <c r="AC24" s="4">
        <f t="shared" ref="AC24" si="29">((AC22)^2+(AC23)^2)^0.5</f>
        <v>9.4694832934351414</v>
      </c>
      <c r="AD24" s="4">
        <f t="shared" ref="AD24" si="30">((AD22)^2+(AD23)^2)^0.5</f>
        <v>9.0852281433126549</v>
      </c>
      <c r="AE24" s="4">
        <f t="shared" ref="AE24" si="31">((AE22)^2+(AE23)^2)^0.5</f>
        <v>8.5449002384090598</v>
      </c>
      <c r="AF24" s="4">
        <f t="shared" ref="AF24" si="32">((AF22)^2+(AF23)^2)^0.5</f>
        <v>7.9446831809076413</v>
      </c>
      <c r="AG24" s="4">
        <f t="shared" ref="AG24" si="33">((AG22)^2+(AG23)^2)^0.5</f>
        <v>7.3647113164221807</v>
      </c>
      <c r="AH24" s="4">
        <f t="shared" ref="AH24" si="34">((AH22)^2+(AH23)^2)^0.5</f>
        <v>6.8459874812299599</v>
      </c>
      <c r="AI24" s="4">
        <f t="shared" ref="AI24" si="35">((AI22)^2+(AI23)^2)^0.5</f>
        <v>6.401483611554772</v>
      </c>
      <c r="AJ24" s="4">
        <f t="shared" ref="AJ24" si="36">((AJ22)^2+(AJ23)^2)^0.5</f>
        <v>6.0284991426726515</v>
      </c>
      <c r="AK24" s="4">
        <f t="shared" ref="AK24" si="37">((AK22)^2+(AK23)^2)^0.5</f>
        <v>5.716496622208771</v>
      </c>
      <c r="AL24" s="4">
        <f t="shared" ref="AL24" si="38">((AL22)^2+(AL23)^2)^0.5</f>
        <v>5.4514055095522629</v>
      </c>
      <c r="AM24" s="4">
        <f t="shared" ref="AM24" si="39">((AM22)^2+(AM23)^2)^0.5</f>
        <v>5.2178214984638389</v>
      </c>
      <c r="AN24" s="4">
        <f t="shared" ref="AN24" si="40">((AN22)^2+(AN23)^2)^0.5</f>
        <v>5</v>
      </c>
    </row>
    <row r="25" spans="7:40" x14ac:dyDescent="0.3">
      <c r="G25" s="25">
        <f t="shared" si="21"/>
        <v>0.8</v>
      </c>
      <c r="H25" s="10"/>
      <c r="I25" s="10"/>
      <c r="J25" s="10"/>
      <c r="K25" s="10"/>
      <c r="L25" s="10"/>
      <c r="M25" s="13">
        <v>0</v>
      </c>
      <c r="N25" s="11">
        <v>1.0016911412800278</v>
      </c>
      <c r="O25" s="11">
        <v>1.771748763334241</v>
      </c>
      <c r="P25" s="11">
        <v>2.3680217873172529</v>
      </c>
      <c r="Q25" s="11">
        <v>2.8271633648453327</v>
      </c>
      <c r="R25" s="11">
        <v>3.1778278987093307</v>
      </c>
      <c r="S25" s="11">
        <v>3.4473947238362554</v>
      </c>
      <c r="T25" s="11">
        <v>3.6606010604537658</v>
      </c>
      <c r="U25" s="11">
        <v>3.8386886347557407</v>
      </c>
      <c r="V25" s="13">
        <v>4</v>
      </c>
      <c r="W25" s="6"/>
      <c r="Y25" s="22" t="s">
        <v>14</v>
      </c>
      <c r="Z25" s="8">
        <f>B5</f>
        <v>101325</v>
      </c>
      <c r="AA25" s="8">
        <f>(Z25+(Z24^2)/2)-(AA24^2)/2</f>
        <v>101326.20540680112</v>
      </c>
      <c r="AB25" s="8">
        <f t="shared" ref="AB25" si="41">(AA25+(AA24^2)/2)-(AB24^2)/2</f>
        <v>101327.78643230826</v>
      </c>
      <c r="AC25" s="8">
        <f t="shared" ref="AC25" si="42">(AB25+(AB24^2)/2)-(AC24^2)/2</f>
        <v>101330.16444307768</v>
      </c>
      <c r="AD25" s="8">
        <f t="shared" ref="AD25" si="43">(AC25+(AC24^2)/2)-(AD24^2)/2</f>
        <v>101333.72931479198</v>
      </c>
      <c r="AE25" s="8">
        <f t="shared" ref="AE25" si="44">(AD25+(AD24^2)/2)-(AE24^2)/2</f>
        <v>101338.49233995783</v>
      </c>
      <c r="AF25" s="8">
        <f t="shared" ref="AF25" si="45">(AE25+(AE24^2)/2)-(AF24^2)/2</f>
        <v>101343.4410045775</v>
      </c>
      <c r="AG25" s="8">
        <f t="shared" ref="AG25" si="46">(AF25+(AF24^2)/2)-(AG24^2)/2</f>
        <v>101347.88051361288</v>
      </c>
      <c r="AH25" s="8">
        <f t="shared" ref="AH25" si="47">(AG25+(AG24^2)/2)-(AH24^2)/2</f>
        <v>101351.56622770343</v>
      </c>
      <c r="AI25" s="8">
        <f t="shared" ref="AI25" si="48">(AH25+(AH24^2)/2)-(AI24^2)/2</f>
        <v>101354.5105037855</v>
      </c>
      <c r="AJ25" s="8">
        <f t="shared" ref="AJ25" si="49">(AI25+(AI24^2)/2)-(AJ24^2)/2</f>
        <v>101356.82859904339</v>
      </c>
      <c r="AK25" s="8">
        <f t="shared" ref="AK25" si="50">(AJ25+(AJ24^2)/2)-(AK24^2)/2</f>
        <v>101358.66083318414</v>
      </c>
      <c r="AL25" s="8">
        <f t="shared" ref="AL25" si="51">(AK25+(AK24^2)/2)-(AL24^2)/2</f>
        <v>101360.14108898521</v>
      </c>
      <c r="AM25" s="8">
        <f t="shared" ref="AM25" si="52">(AL25+(AL24^2)/2)-(AM24^2)/2</f>
        <v>101361.38716940509</v>
      </c>
      <c r="AN25" s="8">
        <f t="shared" ref="AN25" si="53">(AM25+(AM24^2)/2)-(AN24^2)/2</f>
        <v>101362.5</v>
      </c>
    </row>
    <row r="26" spans="7:40" x14ac:dyDescent="0.3">
      <c r="G26" s="25">
        <f t="shared" si="21"/>
        <v>0.60000000000000009</v>
      </c>
      <c r="H26" s="10"/>
      <c r="I26" s="10"/>
      <c r="J26" s="10"/>
      <c r="K26" s="10"/>
      <c r="L26" s="10"/>
      <c r="M26" s="10"/>
      <c r="N26" s="13">
        <v>0</v>
      </c>
      <c r="O26" s="11">
        <v>0.79863165113705437</v>
      </c>
      <c r="P26" s="11">
        <v>1.4227778605340755</v>
      </c>
      <c r="Q26" s="11">
        <v>1.8961183260978016</v>
      </c>
      <c r="R26" s="11">
        <v>2.2439511207420249</v>
      </c>
      <c r="S26" s="11">
        <v>2.50063872316036</v>
      </c>
      <c r="T26" s="11">
        <v>2.6968675628275709</v>
      </c>
      <c r="U26" s="11">
        <v>2.8568754962761096</v>
      </c>
      <c r="V26" s="13">
        <v>3</v>
      </c>
      <c r="W26" s="6"/>
      <c r="Y26" s="22" t="s">
        <v>15</v>
      </c>
      <c r="Z26" s="4">
        <f>(Z25-$B$5)/(($B$4^2)/2)</f>
        <v>0</v>
      </c>
      <c r="AA26" s="4">
        <f t="shared" ref="AA26" si="54">(AA25-$B$5)/(($B$4^2)/2)</f>
        <v>2.4108136022405233E-2</v>
      </c>
      <c r="AB26" s="4">
        <f t="shared" ref="AB26" si="55">(AB25-$B$5)/(($B$4^2)/2)</f>
        <v>5.5728646165225652E-2</v>
      </c>
      <c r="AC26" s="4">
        <f t="shared" ref="AC26" si="56">(AC25-$B$5)/(($B$4^2)/2)</f>
        <v>0.10328886155359214</v>
      </c>
      <c r="AD26" s="4">
        <f t="shared" ref="AD26" si="57">(AD25-$B$5)/(($B$4^2)/2)</f>
        <v>0.17458629583969013</v>
      </c>
      <c r="AE26" s="4">
        <f t="shared" ref="AE26" si="58">(AE25-$B$5)/(($B$4^2)/2)</f>
        <v>0.26984679915651211</v>
      </c>
      <c r="AF26" s="4">
        <f t="shared" ref="AF26" si="59">(AF25-$B$5)/(($B$4^2)/2)</f>
        <v>0.36882009155000561</v>
      </c>
      <c r="AG26" s="4">
        <f t="shared" ref="AG26" si="60">(AG25-$B$5)/(($B$4^2)/2)</f>
        <v>0.45761027225758882</v>
      </c>
      <c r="AH26" s="4">
        <f t="shared" ref="AH26" si="61">(AH25-$B$5)/(($B$4^2)/2)</f>
        <v>0.53132455406856027</v>
      </c>
      <c r="AI26" s="4">
        <f t="shared" ref="AI26" si="62">(AI25-$B$5)/(($B$4^2)/2)</f>
        <v>0.59021007570991058</v>
      </c>
      <c r="AJ26" s="4">
        <f t="shared" ref="AJ26" si="63">(AJ25-$B$5)/(($B$4^2)/2)</f>
        <v>0.63657198086788414</v>
      </c>
      <c r="AK26" s="4">
        <f t="shared" ref="AK26" si="64">(AK25-$B$5)/(($B$4^2)/2)</f>
        <v>0.67321666368283328</v>
      </c>
      <c r="AL26" s="4">
        <f t="shared" ref="AL26" si="65">(AL25-$B$5)/(($B$4^2)/2)</f>
        <v>0.70282177970424531</v>
      </c>
      <c r="AM26" s="4">
        <f t="shared" ref="AM26" si="66">(AM25-$B$5)/(($B$4^2)/2)</f>
        <v>0.72774338810180783</v>
      </c>
      <c r="AN26" s="4">
        <f t="shared" ref="AN26" si="67">(AN25-$B$5)/(($B$4^2)/2)</f>
        <v>0.75</v>
      </c>
    </row>
    <row r="27" spans="7:40" x14ac:dyDescent="0.3">
      <c r="G27" s="25">
        <f t="shared" si="21"/>
        <v>0.4</v>
      </c>
      <c r="H27" s="10"/>
      <c r="I27" s="10"/>
      <c r="J27" s="10"/>
      <c r="K27" s="10"/>
      <c r="L27" s="10"/>
      <c r="M27" s="10"/>
      <c r="N27" s="10"/>
      <c r="O27" s="13">
        <v>0</v>
      </c>
      <c r="P27" s="11">
        <v>0.62833971203020922</v>
      </c>
      <c r="Q27" s="11">
        <v>1.09058100463137</v>
      </c>
      <c r="R27" s="11">
        <v>1.401219582748934</v>
      </c>
      <c r="S27" s="11">
        <v>1.614341530369785</v>
      </c>
      <c r="T27" s="11">
        <v>1.7693550043487078</v>
      </c>
      <c r="U27" s="11">
        <v>1.8919458058747094</v>
      </c>
      <c r="V27" s="13">
        <v>2</v>
      </c>
      <c r="W27" s="6"/>
    </row>
    <row r="28" spans="7:40" x14ac:dyDescent="0.3">
      <c r="G28" s="25">
        <f>G29+B$2</f>
        <v>0.2</v>
      </c>
      <c r="H28" s="10"/>
      <c r="I28" s="10"/>
      <c r="J28" s="10"/>
      <c r="K28" s="10"/>
      <c r="L28" s="10"/>
      <c r="M28" s="10"/>
      <c r="N28" s="10"/>
      <c r="O28" s="10"/>
      <c r="P28" s="13">
        <v>0</v>
      </c>
      <c r="Q28" s="11">
        <v>0.43664642531333753</v>
      </c>
      <c r="R28" s="11">
        <v>0.6560047084720968</v>
      </c>
      <c r="S28" s="11">
        <v>0.78615284134332408</v>
      </c>
      <c r="T28" s="11">
        <v>0.87426514230594765</v>
      </c>
      <c r="U28" s="11">
        <v>0.94155273537501183</v>
      </c>
      <c r="V28" s="13">
        <v>1</v>
      </c>
      <c r="W28" s="6"/>
    </row>
    <row r="29" spans="7:40" x14ac:dyDescent="0.3">
      <c r="G29" s="25">
        <v>0</v>
      </c>
      <c r="H29" s="10"/>
      <c r="I29" s="10"/>
      <c r="J29" s="10"/>
      <c r="K29" s="10"/>
      <c r="L29" s="10"/>
      <c r="M29" s="10"/>
      <c r="N29" s="10"/>
      <c r="O29" s="10"/>
      <c r="P29" s="10"/>
      <c r="Q29" s="14">
        <v>0</v>
      </c>
      <c r="R29" s="14">
        <v>0</v>
      </c>
      <c r="S29" s="14">
        <v>0</v>
      </c>
      <c r="T29" s="14">
        <v>0</v>
      </c>
      <c r="U29" s="14">
        <v>0</v>
      </c>
      <c r="V29" s="13">
        <v>0</v>
      </c>
      <c r="W29" s="6"/>
    </row>
    <row r="30" spans="7:40" x14ac:dyDescent="0.3">
      <c r="G30" s="10"/>
      <c r="H30" s="25">
        <v>0</v>
      </c>
      <c r="I30" s="25">
        <f>H30+$B$2</f>
        <v>0.2</v>
      </c>
      <c r="J30" s="25">
        <f t="shared" ref="J30:V30" si="68">I30+$B$2</f>
        <v>0.4</v>
      </c>
      <c r="K30" s="25">
        <f t="shared" si="68"/>
        <v>0.60000000000000009</v>
      </c>
      <c r="L30" s="25">
        <f t="shared" si="68"/>
        <v>0.8</v>
      </c>
      <c r="M30" s="25">
        <f t="shared" si="68"/>
        <v>1</v>
      </c>
      <c r="N30" s="25">
        <f t="shared" si="68"/>
        <v>1.2</v>
      </c>
      <c r="O30" s="25">
        <f t="shared" si="68"/>
        <v>1.4</v>
      </c>
      <c r="P30" s="25">
        <f t="shared" si="68"/>
        <v>1.5999999999999999</v>
      </c>
      <c r="Q30" s="25">
        <f t="shared" si="68"/>
        <v>1.7999999999999998</v>
      </c>
      <c r="R30" s="25">
        <f t="shared" si="68"/>
        <v>1.9999999999999998</v>
      </c>
      <c r="S30" s="25">
        <f t="shared" si="68"/>
        <v>2.1999999999999997</v>
      </c>
      <c r="T30" s="25">
        <f t="shared" si="68"/>
        <v>2.4</v>
      </c>
      <c r="U30" s="25">
        <f t="shared" si="68"/>
        <v>2.6</v>
      </c>
      <c r="V30" s="25">
        <f t="shared" si="68"/>
        <v>2.8000000000000003</v>
      </c>
      <c r="W30" s="6"/>
    </row>
    <row r="31" spans="7:40" x14ac:dyDescent="0.3"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7"/>
    </row>
    <row r="32" spans="7:40" x14ac:dyDescent="0.3">
      <c r="G32" s="10"/>
      <c r="H32" s="26">
        <v>1</v>
      </c>
      <c r="I32" s="26">
        <v>2</v>
      </c>
      <c r="J32" s="26">
        <v>3</v>
      </c>
      <c r="K32" s="26">
        <v>4</v>
      </c>
      <c r="L32" s="26">
        <v>5</v>
      </c>
      <c r="M32" s="26">
        <v>6</v>
      </c>
      <c r="N32" s="26">
        <v>7</v>
      </c>
      <c r="O32" s="26">
        <v>8</v>
      </c>
      <c r="P32" s="26">
        <v>9</v>
      </c>
      <c r="Q32" s="26">
        <v>10</v>
      </c>
      <c r="R32" s="26">
        <v>11</v>
      </c>
      <c r="S32" s="26">
        <v>12</v>
      </c>
      <c r="T32" s="26">
        <v>13</v>
      </c>
      <c r="U32" s="26">
        <v>14</v>
      </c>
      <c r="V32" s="26">
        <v>15</v>
      </c>
      <c r="W32" s="6"/>
    </row>
    <row r="33" spans="6:24" x14ac:dyDescent="0.3">
      <c r="F33" s="33" t="s">
        <v>8</v>
      </c>
      <c r="G33" s="25">
        <f t="shared" ref="G33:G41" si="69">G34+B$2</f>
        <v>1.9999999999999998</v>
      </c>
      <c r="H33" s="35">
        <f>(H5-H6)/$B$2</f>
        <v>10</v>
      </c>
      <c r="I33" s="35">
        <f t="shared" ref="I33:V33" si="70">(I5-I6)/$B$2</f>
        <v>9.8582767743048993</v>
      </c>
      <c r="J33" s="35">
        <f t="shared" si="70"/>
        <v>9.6756592369132477</v>
      </c>
      <c r="K33" s="35">
        <f t="shared" si="70"/>
        <v>9.4096350062731116</v>
      </c>
      <c r="L33" s="35">
        <f t="shared" si="70"/>
        <v>9.0239141692067548</v>
      </c>
      <c r="M33" s="35">
        <f t="shared" si="70"/>
        <v>8.5155653344107485</v>
      </c>
      <c r="N33" s="35">
        <f t="shared" si="70"/>
        <v>7.9485466254543446</v>
      </c>
      <c r="O33" s="35">
        <f t="shared" si="70"/>
        <v>7.3892547169568523</v>
      </c>
      <c r="P33" s="35">
        <f t="shared" si="70"/>
        <v>6.8790495069462931</v>
      </c>
      <c r="Q33" s="35">
        <f t="shared" si="70"/>
        <v>6.4349682297533484</v>
      </c>
      <c r="R33" s="35">
        <f t="shared" si="70"/>
        <v>6.0578560709646823</v>
      </c>
      <c r="S33" s="35">
        <f t="shared" si="70"/>
        <v>5.7394576528168262</v>
      </c>
      <c r="T33" s="35">
        <f t="shared" si="70"/>
        <v>5.466981200625094</v>
      </c>
      <c r="U33" s="35">
        <f t="shared" si="70"/>
        <v>5.225656058540622</v>
      </c>
      <c r="V33" s="36">
        <f t="shared" si="70"/>
        <v>5</v>
      </c>
      <c r="W33" s="6"/>
    </row>
    <row r="34" spans="6:24" x14ac:dyDescent="0.3">
      <c r="G34" s="25">
        <f t="shared" si="69"/>
        <v>1.7999999999999998</v>
      </c>
      <c r="H34" s="15">
        <f>(H5-H7)/(2*$B$2)</f>
        <v>10</v>
      </c>
      <c r="I34" s="11">
        <f>(I5-I7)/(2*$B$2)</f>
        <v>9.8787239255762884</v>
      </c>
      <c r="J34" s="11">
        <f t="shared" ref="J34:U34" si="71">(J5-J7)/(2*$B$2)</f>
        <v>9.7173625734293978</v>
      </c>
      <c r="K34" s="11">
        <f t="shared" si="71"/>
        <v>9.4694832934351414</v>
      </c>
      <c r="L34" s="11">
        <f t="shared" si="71"/>
        <v>9.0852281433126549</v>
      </c>
      <c r="M34" s="11">
        <f t="shared" ref="M34" si="72">(M5-M7)/(2*$B$2)</f>
        <v>8.5449002384090598</v>
      </c>
      <c r="N34" s="11">
        <f t="shared" si="71"/>
        <v>7.9446831809076413</v>
      </c>
      <c r="O34" s="11">
        <f t="shared" si="71"/>
        <v>7.3647113164221807</v>
      </c>
      <c r="P34" s="11">
        <f t="shared" si="71"/>
        <v>6.8459874812299599</v>
      </c>
      <c r="Q34" s="11">
        <f t="shared" si="71"/>
        <v>6.401483611554772</v>
      </c>
      <c r="R34" s="11">
        <f t="shared" si="71"/>
        <v>6.0284991426726515</v>
      </c>
      <c r="S34" s="11">
        <f t="shared" si="71"/>
        <v>5.716496622208771</v>
      </c>
      <c r="T34" s="11">
        <f t="shared" si="71"/>
        <v>5.4514055095522629</v>
      </c>
      <c r="U34" s="11">
        <f t="shared" si="71"/>
        <v>5.2178214984638389</v>
      </c>
      <c r="V34" s="16">
        <f>(V5-V7)/(2*$B$2)</f>
        <v>5</v>
      </c>
      <c r="W34" s="6"/>
    </row>
    <row r="35" spans="6:24" x14ac:dyDescent="0.3">
      <c r="G35" s="25">
        <f t="shared" si="69"/>
        <v>1.5999999999999999</v>
      </c>
      <c r="H35" s="15">
        <f t="shared" ref="H35:H37" si="73">(H6-H8)/(2*$B$2)</f>
        <v>10</v>
      </c>
      <c r="I35" s="11">
        <f t="shared" ref="I35:V35" si="74">(I6-I8)/(2*$B$2)</f>
        <v>9.9392563467326109</v>
      </c>
      <c r="J35" s="11">
        <f t="shared" si="74"/>
        <v>9.8455838215868354</v>
      </c>
      <c r="K35" s="11">
        <f t="shared" si="74"/>
        <v>9.6657074226548652</v>
      </c>
      <c r="L35" s="11">
        <f t="shared" si="74"/>
        <v>9.3026148311107626</v>
      </c>
      <c r="M35" s="11">
        <f t="shared" ref="M35:N35" si="75">(M6-M8)/(2*$B$2)</f>
        <v>8.634124234364684</v>
      </c>
      <c r="N35" s="11">
        <f t="shared" si="75"/>
        <v>7.9205744662253226</v>
      </c>
      <c r="O35" s="11">
        <f t="shared" si="74"/>
        <v>7.2789197891022424</v>
      </c>
      <c r="P35" s="11">
        <f t="shared" si="74"/>
        <v>6.7387053841666473</v>
      </c>
      <c r="Q35" s="11">
        <f t="shared" si="74"/>
        <v>6.2964794785126665</v>
      </c>
      <c r="R35" s="11">
        <f t="shared" si="74"/>
        <v>5.9381601613392521</v>
      </c>
      <c r="S35" s="11">
        <f t="shared" si="74"/>
        <v>5.6466240910232379</v>
      </c>
      <c r="T35" s="11">
        <f t="shared" si="74"/>
        <v>5.404322651591702</v>
      </c>
      <c r="U35" s="11">
        <f t="shared" si="74"/>
        <v>5.1942243900068519</v>
      </c>
      <c r="V35" s="16">
        <f t="shared" si="74"/>
        <v>5</v>
      </c>
      <c r="W35" s="6"/>
    </row>
    <row r="36" spans="6:24" x14ac:dyDescent="0.3">
      <c r="G36" s="25">
        <f t="shared" si="69"/>
        <v>1.4</v>
      </c>
      <c r="H36" s="15">
        <f t="shared" si="73"/>
        <v>10</v>
      </c>
      <c r="I36" s="11">
        <f t="shared" ref="I36:V36" si="76">(I7-I9)/(2*$B$2)</f>
        <v>10.032717636564458</v>
      </c>
      <c r="J36" s="11">
        <f t="shared" si="76"/>
        <v>10.060008936110167</v>
      </c>
      <c r="K36" s="11">
        <f t="shared" si="76"/>
        <v>10.045147731594385</v>
      </c>
      <c r="L36" s="11">
        <f t="shared" si="76"/>
        <v>9.8253995012268955</v>
      </c>
      <c r="M36" s="11">
        <f t="shared" si="76"/>
        <v>8.7684073651109458</v>
      </c>
      <c r="N36" s="11">
        <f t="shared" ref="N36:O36" si="77">(N7-N9)/(2*$B$2)</f>
        <v>7.8245706049015489</v>
      </c>
      <c r="O36" s="11">
        <f t="shared" si="77"/>
        <v>7.0916879198643352</v>
      </c>
      <c r="P36" s="11">
        <f t="shared" si="76"/>
        <v>6.5334347030117685</v>
      </c>
      <c r="Q36" s="11">
        <f t="shared" si="76"/>
        <v>6.1075686698342242</v>
      </c>
      <c r="R36" s="11">
        <f t="shared" si="76"/>
        <v>5.7810378456768436</v>
      </c>
      <c r="S36" s="11">
        <f t="shared" si="76"/>
        <v>5.5275168561002381</v>
      </c>
      <c r="T36" s="11">
        <f t="shared" si="76"/>
        <v>5.3250365602251293</v>
      </c>
      <c r="U36" s="11">
        <f t="shared" si="76"/>
        <v>5.1547533816072173</v>
      </c>
      <c r="V36" s="16">
        <f t="shared" si="76"/>
        <v>5</v>
      </c>
      <c r="W36" s="6"/>
    </row>
    <row r="37" spans="6:24" x14ac:dyDescent="0.3">
      <c r="G37" s="25">
        <f t="shared" si="69"/>
        <v>1.2</v>
      </c>
      <c r="H37" s="15">
        <f t="shared" si="73"/>
        <v>10</v>
      </c>
      <c r="I37" s="11">
        <f t="shared" ref="I37:V37" si="78">(I8-I10)/(2*$B$2)</f>
        <v>10.131605266114937</v>
      </c>
      <c r="J37" s="11">
        <f t="shared" si="78"/>
        <v>10.316586559956539</v>
      </c>
      <c r="K37" s="11">
        <f t="shared" si="78"/>
        <v>10.629475074208578</v>
      </c>
      <c r="L37" s="17">
        <f t="shared" si="78"/>
        <v>11.18542808428586</v>
      </c>
      <c r="M37" s="11">
        <f t="shared" si="78"/>
        <v>8.789535115578488</v>
      </c>
      <c r="N37" s="11">
        <f t="shared" ref="N37:O37" si="79">(N8-N10)/(2*$B$2)</f>
        <v>7.5176126491593882</v>
      </c>
      <c r="O37" s="11">
        <f t="shared" si="79"/>
        <v>6.7298265469501724</v>
      </c>
      <c r="P37" s="11">
        <f t="shared" si="78"/>
        <v>6.1957767918493527</v>
      </c>
      <c r="Q37" s="11">
        <f t="shared" ref="Q37:T42" si="80">(Q8-Q10)/(2*$B$2)</f>
        <v>5.8193225967229996</v>
      </c>
      <c r="R37" s="11">
        <f t="shared" si="80"/>
        <v>5.5509056413176694</v>
      </c>
      <c r="S37" s="11">
        <f t="shared" si="80"/>
        <v>5.3573688776145056</v>
      </c>
      <c r="T37" s="11">
        <f t="shared" si="80"/>
        <v>5.2135533156795528</v>
      </c>
      <c r="U37" s="11">
        <f t="shared" si="78"/>
        <v>5.09975255629183</v>
      </c>
      <c r="V37" s="16">
        <f t="shared" si="78"/>
        <v>5</v>
      </c>
      <c r="W37" s="6"/>
    </row>
    <row r="38" spans="6:24" x14ac:dyDescent="0.3">
      <c r="G38" s="25">
        <f t="shared" si="69"/>
        <v>1</v>
      </c>
      <c r="H38" s="35">
        <f>(H9-H10)/($B$2)</f>
        <v>10</v>
      </c>
      <c r="I38" s="35">
        <f t="shared" ref="I38:U43" si="81">(I9-I10)/($B$2)</f>
        <v>10.177116875718506</v>
      </c>
      <c r="J38" s="35">
        <f t="shared" si="81"/>
        <v>10.445256980920869</v>
      </c>
      <c r="K38" s="37">
        <f t="shared" si="81"/>
        <v>10.970737949940945</v>
      </c>
      <c r="L38" s="36">
        <f t="shared" si="81"/>
        <v>12.178744710920894</v>
      </c>
      <c r="M38" s="18">
        <f t="shared" ref="M38" si="82">(M9-M11)/(2*$B$2)</f>
        <v>7.6866923964799927</v>
      </c>
      <c r="N38" s="11">
        <f>(N9-N11)/(2*$B$2)</f>
        <v>6.7265183492303766</v>
      </c>
      <c r="O38" s="11">
        <f t="shared" ref="O38:P38" si="83">(O9-O11)/(2*$B$2)</f>
        <v>6.1142288329049261</v>
      </c>
      <c r="P38" s="11">
        <f t="shared" si="83"/>
        <v>5.7005233147531191</v>
      </c>
      <c r="Q38" s="11">
        <f t="shared" si="80"/>
        <v>5.4230392695706531</v>
      </c>
      <c r="R38" s="11">
        <f t="shared" si="80"/>
        <v>5.2458932258086683</v>
      </c>
      <c r="S38" s="11">
        <f t="shared" si="80"/>
        <v>5.137499678556261</v>
      </c>
      <c r="T38" s="11">
        <f t="shared" si="80"/>
        <v>5.0720552530601344</v>
      </c>
      <c r="U38" s="11">
        <f t="shared" ref="U38:V38" si="84">(U9-U11)/(2*$B$2)</f>
        <v>5.0307035196326604</v>
      </c>
      <c r="V38" s="16">
        <f t="shared" si="84"/>
        <v>5</v>
      </c>
      <c r="W38" s="6"/>
    </row>
    <row r="39" spans="6:24" x14ac:dyDescent="0.3">
      <c r="G39" s="25">
        <f t="shared" si="69"/>
        <v>0.8</v>
      </c>
      <c r="H39" s="10"/>
      <c r="I39" s="10"/>
      <c r="J39" s="10"/>
      <c r="K39" s="10"/>
      <c r="L39" s="19"/>
      <c r="M39" s="36">
        <f t="shared" si="81"/>
        <v>6.6371159657029049</v>
      </c>
      <c r="N39" s="11">
        <f t="shared" ref="N39" si="85">(N10-N12)/(2*$B$2)</f>
        <v>5.587539571888116</v>
      </c>
      <c r="O39" s="11">
        <f t="shared" ref="O39:P39" si="86">(O10-O12)/(2*$B$2)</f>
        <v>5.3000471655514598</v>
      </c>
      <c r="P39" s="11">
        <f t="shared" si="86"/>
        <v>5.0690483976469034</v>
      </c>
      <c r="Q39" s="11">
        <f t="shared" si="80"/>
        <v>4.9264179656671567</v>
      </c>
      <c r="R39" s="11">
        <f t="shared" si="80"/>
        <v>4.8721283301629708</v>
      </c>
      <c r="S39" s="11">
        <f t="shared" si="80"/>
        <v>4.8746813688440698</v>
      </c>
      <c r="T39" s="11">
        <f t="shared" si="80"/>
        <v>4.9064645047668582</v>
      </c>
      <c r="U39" s="11">
        <f t="shared" ref="U39:V39" si="87">(U10-U12)/(2*$B$2)</f>
        <v>4.9510062722697441</v>
      </c>
      <c r="V39" s="16">
        <f t="shared" si="87"/>
        <v>5</v>
      </c>
      <c r="W39" s="6"/>
    </row>
    <row r="40" spans="6:24" x14ac:dyDescent="0.3">
      <c r="G40" s="25">
        <f t="shared" si="69"/>
        <v>0.60000000000000009</v>
      </c>
      <c r="H40" s="10"/>
      <c r="I40" s="10"/>
      <c r="J40" s="10"/>
      <c r="K40" s="10"/>
      <c r="L40" s="10"/>
      <c r="M40" s="19"/>
      <c r="N40" s="36">
        <f t="shared" si="81"/>
        <v>5.0084557299208639</v>
      </c>
      <c r="O40" s="11">
        <f t="shared" ref="O40:P40" si="88">(O11-O13)/(2*$B$2)</f>
        <v>4.4293719308085562</v>
      </c>
      <c r="P40" s="11">
        <f t="shared" si="88"/>
        <v>4.3492052102767476</v>
      </c>
      <c r="Q40" s="11">
        <f t="shared" si="80"/>
        <v>4.3414559201714233</v>
      </c>
      <c r="R40" s="11">
        <f t="shared" si="80"/>
        <v>4.4415208082072866</v>
      </c>
      <c r="S40" s="11">
        <f t="shared" si="80"/>
        <v>4.5826329983839003</v>
      </c>
      <c r="T40" s="11">
        <f t="shared" si="80"/>
        <v>4.728115151301215</v>
      </c>
      <c r="U40" s="11">
        <f t="shared" ref="U40:V40" si="89">(U11-U13)/(2*$B$2)</f>
        <v>4.8668570777963875</v>
      </c>
      <c r="V40" s="16">
        <f t="shared" si="89"/>
        <v>5</v>
      </c>
      <c r="W40" s="6"/>
    </row>
    <row r="41" spans="6:24" x14ac:dyDescent="0.3">
      <c r="G41" s="25">
        <f t="shared" si="69"/>
        <v>0.4</v>
      </c>
      <c r="H41" s="10"/>
      <c r="I41" s="10"/>
      <c r="J41" s="10"/>
      <c r="K41" s="10"/>
      <c r="L41" s="10"/>
      <c r="M41" s="10"/>
      <c r="N41" s="19"/>
      <c r="O41" s="36">
        <f t="shared" si="81"/>
        <v>3.993158279835396</v>
      </c>
      <c r="P41" s="11">
        <f t="shared" ref="P41" si="90">(P12-P14)/(2*$B$2)</f>
        <v>3.5569446728639487</v>
      </c>
      <c r="Q41" s="11">
        <f t="shared" si="80"/>
        <v>3.6486797735308354</v>
      </c>
      <c r="R41" s="11">
        <f t="shared" si="80"/>
        <v>3.9698660508192685</v>
      </c>
      <c r="S41" s="11">
        <f t="shared" si="80"/>
        <v>4.286214722892379</v>
      </c>
      <c r="T41" s="11">
        <f t="shared" si="80"/>
        <v>4.5565060644824369</v>
      </c>
      <c r="U41" s="11">
        <f t="shared" ref="U41:V41" si="91">(U12-U14)/(2*$B$2)</f>
        <v>4.7883069095483517</v>
      </c>
      <c r="V41" s="16">
        <f t="shared" si="91"/>
        <v>5</v>
      </c>
      <c r="W41" s="6"/>
    </row>
    <row r="42" spans="6:24" x14ac:dyDescent="0.3">
      <c r="G42" s="25">
        <f>G43+B$2</f>
        <v>0.2</v>
      </c>
      <c r="H42" s="10"/>
      <c r="I42" s="10"/>
      <c r="J42" s="10"/>
      <c r="K42" s="10"/>
      <c r="L42" s="10"/>
      <c r="M42" s="10"/>
      <c r="N42" s="10"/>
      <c r="O42" s="19"/>
      <c r="P42" s="36">
        <f t="shared" si="81"/>
        <v>3.1416985814568066</v>
      </c>
      <c r="Q42" s="11">
        <f t="shared" si="80"/>
        <v>2.7264525288689261</v>
      </c>
      <c r="R42" s="11">
        <f t="shared" si="80"/>
        <v>3.5030489776345477</v>
      </c>
      <c r="S42" s="11">
        <f t="shared" si="80"/>
        <v>4.0358538447508279</v>
      </c>
      <c r="T42" s="11">
        <f t="shared" si="80"/>
        <v>4.4233875258612576</v>
      </c>
      <c r="U42" s="11">
        <f t="shared" ref="U42:V42" si="92">(U13-U15)/(2*$B$2)</f>
        <v>4.7298645224998932</v>
      </c>
      <c r="V42" s="16">
        <f t="shared" si="92"/>
        <v>5</v>
      </c>
      <c r="W42" s="6"/>
    </row>
    <row r="43" spans="6:24" x14ac:dyDescent="0.3">
      <c r="G43" s="25">
        <v>0</v>
      </c>
      <c r="H43" s="10"/>
      <c r="I43" s="10"/>
      <c r="J43" s="10"/>
      <c r="K43" s="10"/>
      <c r="L43" s="10"/>
      <c r="M43" s="10"/>
      <c r="N43" s="10"/>
      <c r="O43" s="10"/>
      <c r="P43" s="19"/>
      <c r="Q43" s="36">
        <f t="shared" si="81"/>
        <v>2.1832321413793334</v>
      </c>
      <c r="R43" s="35">
        <f t="shared" si="81"/>
        <v>3.2800235617569942</v>
      </c>
      <c r="S43" s="35">
        <f t="shared" si="81"/>
        <v>3.9307642264347868</v>
      </c>
      <c r="T43" s="35">
        <f t="shared" si="81"/>
        <v>4.3713257263338043</v>
      </c>
      <c r="U43" s="35">
        <f t="shared" si="81"/>
        <v>4.7077636852258209</v>
      </c>
      <c r="V43" s="36">
        <f>(V14-V15)/($B$2)</f>
        <v>5</v>
      </c>
      <c r="W43" s="6"/>
    </row>
    <row r="44" spans="6:24" x14ac:dyDescent="0.3">
      <c r="G44" s="10"/>
      <c r="H44" s="25">
        <v>0</v>
      </c>
      <c r="I44" s="25">
        <f>H44+$B$2</f>
        <v>0.2</v>
      </c>
      <c r="J44" s="25">
        <f t="shared" ref="J44:V44" si="93">I44+$B$2</f>
        <v>0.4</v>
      </c>
      <c r="K44" s="25">
        <f t="shared" si="93"/>
        <v>0.60000000000000009</v>
      </c>
      <c r="L44" s="25">
        <f t="shared" si="93"/>
        <v>0.8</v>
      </c>
      <c r="M44" s="25">
        <f t="shared" si="93"/>
        <v>1</v>
      </c>
      <c r="N44" s="25">
        <f t="shared" si="93"/>
        <v>1.2</v>
      </c>
      <c r="O44" s="25">
        <f t="shared" si="93"/>
        <v>1.4</v>
      </c>
      <c r="P44" s="25">
        <f t="shared" si="93"/>
        <v>1.5999999999999999</v>
      </c>
      <c r="Q44" s="25">
        <f t="shared" si="93"/>
        <v>1.7999999999999998</v>
      </c>
      <c r="R44" s="25">
        <f t="shared" si="93"/>
        <v>1.9999999999999998</v>
      </c>
      <c r="S44" s="25">
        <f t="shared" si="93"/>
        <v>2.1999999999999997</v>
      </c>
      <c r="T44" s="25">
        <f t="shared" si="93"/>
        <v>2.4</v>
      </c>
      <c r="U44" s="25">
        <f t="shared" si="93"/>
        <v>2.6</v>
      </c>
      <c r="V44" s="25">
        <f t="shared" si="93"/>
        <v>2.8000000000000003</v>
      </c>
      <c r="W44" s="6"/>
      <c r="X44" s="5"/>
    </row>
    <row r="45" spans="6:24" x14ac:dyDescent="0.3"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</row>
    <row r="46" spans="6:24" x14ac:dyDescent="0.3">
      <c r="F46" s="33" t="s">
        <v>9</v>
      </c>
      <c r="G46" s="10"/>
      <c r="H46" s="26">
        <v>1</v>
      </c>
      <c r="I46" s="26">
        <v>2</v>
      </c>
      <c r="J46" s="26">
        <v>3</v>
      </c>
      <c r="K46" s="26">
        <v>4</v>
      </c>
      <c r="L46" s="26">
        <v>5</v>
      </c>
      <c r="M46" s="26">
        <v>6</v>
      </c>
      <c r="N46" s="26">
        <v>7</v>
      </c>
      <c r="O46" s="26">
        <v>8</v>
      </c>
      <c r="P46" s="26">
        <v>9</v>
      </c>
      <c r="Q46" s="26">
        <v>10</v>
      </c>
      <c r="R46" s="26">
        <v>11</v>
      </c>
      <c r="S46" s="26">
        <v>12</v>
      </c>
      <c r="T46" s="26">
        <v>13</v>
      </c>
      <c r="U46" s="26">
        <v>14</v>
      </c>
      <c r="V46" s="26">
        <v>15</v>
      </c>
    </row>
    <row r="47" spans="6:24" x14ac:dyDescent="0.3">
      <c r="F47" s="5"/>
      <c r="G47" s="25">
        <f t="shared" ref="G47:G55" si="94">G48+B$2</f>
        <v>1.9999999999999998</v>
      </c>
      <c r="H47" s="35">
        <f>(H5-I5)/$B$2</f>
        <v>0</v>
      </c>
      <c r="I47" s="35">
        <f>(I5-K5)/$B$2</f>
        <v>0</v>
      </c>
      <c r="J47" s="35">
        <f t="shared" ref="J47:T47" si="95">(J5-L5)/$B$2</f>
        <v>0</v>
      </c>
      <c r="K47" s="35">
        <f t="shared" si="95"/>
        <v>0</v>
      </c>
      <c r="L47" s="35">
        <f t="shared" si="95"/>
        <v>0</v>
      </c>
      <c r="M47" s="35">
        <f t="shared" si="95"/>
        <v>0</v>
      </c>
      <c r="N47" s="35">
        <f t="shared" si="95"/>
        <v>0</v>
      </c>
      <c r="O47" s="35">
        <f t="shared" si="95"/>
        <v>0</v>
      </c>
      <c r="P47" s="35">
        <f t="shared" si="95"/>
        <v>0</v>
      </c>
      <c r="Q47" s="35">
        <f t="shared" si="95"/>
        <v>0</v>
      </c>
      <c r="R47" s="35">
        <f t="shared" si="95"/>
        <v>0</v>
      </c>
      <c r="S47" s="35">
        <f t="shared" si="95"/>
        <v>0</v>
      </c>
      <c r="T47" s="35">
        <f t="shared" si="95"/>
        <v>0</v>
      </c>
      <c r="U47" s="35">
        <f>(U5-V5)/$B$2</f>
        <v>0</v>
      </c>
      <c r="V47" s="35">
        <f>(V5-U5)/$B$2</f>
        <v>0</v>
      </c>
    </row>
    <row r="48" spans="6:24" x14ac:dyDescent="0.3">
      <c r="F48" s="5"/>
      <c r="G48" s="25">
        <f t="shared" si="94"/>
        <v>1.7999999999999998</v>
      </c>
      <c r="H48" s="15">
        <f t="shared" ref="H48:K52" si="96">(H6-I6)/$B$2</f>
        <v>-0.14172322569510065</v>
      </c>
      <c r="I48" s="11">
        <f>(H6-J6)/(2*$B$2)</f>
        <v>-0.16217038154337615</v>
      </c>
      <c r="J48" s="11">
        <f t="shared" ref="J48:U48" si="97">(I6-K6)/(2*$B$2)</f>
        <v>-0.2243208840158939</v>
      </c>
      <c r="K48" s="11">
        <f t="shared" si="97"/>
        <v>-0.32587253385324644</v>
      </c>
      <c r="L48" s="11">
        <f t="shared" si="97"/>
        <v>-0.44703483593118154</v>
      </c>
      <c r="M48" s="11">
        <f t="shared" si="97"/>
        <v>-0.53768377187620509</v>
      </c>
      <c r="N48" s="11">
        <f t="shared" si="97"/>
        <v>-0.56315530872694808</v>
      </c>
      <c r="O48" s="11">
        <f t="shared" si="97"/>
        <v>-0.53474855925402576</v>
      </c>
      <c r="P48" s="11">
        <f t="shared" si="97"/>
        <v>-0.47714324360175198</v>
      </c>
      <c r="Q48" s="11">
        <f t="shared" si="97"/>
        <v>-0.41059671799080544</v>
      </c>
      <c r="R48" s="11">
        <f t="shared" si="97"/>
        <v>-0.34775528846826109</v>
      </c>
      <c r="S48" s="11">
        <f t="shared" si="97"/>
        <v>-0.29543743516979415</v>
      </c>
      <c r="T48" s="11">
        <f t="shared" si="97"/>
        <v>-0.2569007971381021</v>
      </c>
      <c r="U48" s="11">
        <f t="shared" si="97"/>
        <v>-0.23349060031254698</v>
      </c>
      <c r="V48" s="11">
        <f>(U6-V6)/($B$2)</f>
        <v>-0.22565605854062198</v>
      </c>
    </row>
    <row r="49" spans="6:22" x14ac:dyDescent="0.3">
      <c r="G49" s="25">
        <f t="shared" si="94"/>
        <v>1.5999999999999999</v>
      </c>
      <c r="H49" s="15">
        <f t="shared" si="96"/>
        <v>-0.24255214884742138</v>
      </c>
      <c r="I49" s="11">
        <f t="shared" ref="I49:U49" si="98">(H7-J7)/(2*$B$2)</f>
        <v>-0.2826374265706022</v>
      </c>
      <c r="J49" s="11">
        <f t="shared" si="98"/>
        <v>-0.40924063214114792</v>
      </c>
      <c r="K49" s="11">
        <f t="shared" si="98"/>
        <v>-0.63213443011674197</v>
      </c>
      <c r="L49" s="11">
        <f t="shared" si="98"/>
        <v>-0.92458305502608029</v>
      </c>
      <c r="M49" s="11">
        <f t="shared" si="98"/>
        <v>-1.1405449624050146</v>
      </c>
      <c r="N49" s="11">
        <f t="shared" si="98"/>
        <v>-1.18018892198688</v>
      </c>
      <c r="O49" s="11">
        <f t="shared" si="98"/>
        <v>-1.0986956996776809</v>
      </c>
      <c r="P49" s="11">
        <f t="shared" si="98"/>
        <v>-0.96322770486740872</v>
      </c>
      <c r="Q49" s="11">
        <f t="shared" si="98"/>
        <v>-0.8174883385573084</v>
      </c>
      <c r="R49" s="11">
        <f t="shared" si="98"/>
        <v>-0.68498698934600144</v>
      </c>
      <c r="S49" s="11">
        <f t="shared" si="98"/>
        <v>-0.57709363312038908</v>
      </c>
      <c r="T49" s="11">
        <f t="shared" si="98"/>
        <v>-0.49867512374493161</v>
      </c>
      <c r="U49" s="11">
        <f t="shared" si="98"/>
        <v>-0.45140550955226288</v>
      </c>
      <c r="V49" s="11">
        <f t="shared" ref="V49:V57" si="99">(U7-V7)/($B$2)</f>
        <v>-0.43564299692767872</v>
      </c>
    </row>
    <row r="50" spans="6:22" x14ac:dyDescent="0.3">
      <c r="G50" s="25">
        <f t="shared" si="94"/>
        <v>1.4</v>
      </c>
      <c r="H50" s="15">
        <f t="shared" si="96"/>
        <v>-0.26321053222987612</v>
      </c>
      <c r="I50" s="11">
        <f t="shared" ref="I50:U50" si="100">(H8-J8)/(2*$B$2)</f>
        <v>-0.31658655995653984</v>
      </c>
      <c r="J50" s="11">
        <f t="shared" si="100"/>
        <v>-0.49786980809364056</v>
      </c>
      <c r="K50" s="11">
        <f t="shared" si="100"/>
        <v>-0.86884152432932016</v>
      </c>
      <c r="L50" s="11">
        <f t="shared" si="100"/>
        <v>-1.4786180242213631</v>
      </c>
      <c r="M50" s="11">
        <f t="shared" si="100"/>
        <v>-1.9197241367616447</v>
      </c>
      <c r="N50" s="11">
        <f t="shared" si="100"/>
        <v>-1.9183597539893893</v>
      </c>
      <c r="O50" s="11">
        <f t="shared" si="100"/>
        <v>-1.716617641312701</v>
      </c>
      <c r="P50" s="11">
        <f t="shared" si="100"/>
        <v>-1.4595835541913282</v>
      </c>
      <c r="Q50" s="11">
        <f t="shared" si="100"/>
        <v>-1.2111419408182011</v>
      </c>
      <c r="R50" s="11">
        <f t="shared" si="100"/>
        <v>-0.99761067595768971</v>
      </c>
      <c r="S50" s="11">
        <f t="shared" si="100"/>
        <v>-0.82927494491734421</v>
      </c>
      <c r="T50" s="11">
        <f t="shared" si="100"/>
        <v>-0.70930049815448815</v>
      </c>
      <c r="U50" s="11">
        <f t="shared" si="100"/>
        <v>-0.63781325190424898</v>
      </c>
      <c r="V50" s="11">
        <f t="shared" si="99"/>
        <v>-0.61410483855432574</v>
      </c>
    </row>
    <row r="51" spans="6:22" x14ac:dyDescent="0.3">
      <c r="G51" s="25">
        <f t="shared" si="94"/>
        <v>1.2</v>
      </c>
      <c r="H51" s="15">
        <f t="shared" si="96"/>
        <v>-0.17711687571850598</v>
      </c>
      <c r="I51" s="11">
        <f t="shared" ref="I51:U52" si="101">(H9-J9)/(2*$B$2)</f>
        <v>-0.22262849046043476</v>
      </c>
      <c r="J51" s="11">
        <f t="shared" si="101"/>
        <v>-0.39681053711121961</v>
      </c>
      <c r="K51" s="11">
        <f t="shared" si="101"/>
        <v>-0.86674386500001255</v>
      </c>
      <c r="L51" s="11">
        <f t="shared" si="101"/>
        <v>-2.2013234215095201</v>
      </c>
      <c r="M51" s="11">
        <f t="shared" si="101"/>
        <v>-3.1413738587303617</v>
      </c>
      <c r="N51" s="11">
        <f t="shared" si="101"/>
        <v>-2.8569083672334905</v>
      </c>
      <c r="O51" s="11">
        <f t="shared" si="101"/>
        <v>-2.3898316015674612</v>
      </c>
      <c r="P51" s="11">
        <f t="shared" si="101"/>
        <v>-1.9473469548975197</v>
      </c>
      <c r="Q51" s="11">
        <f t="shared" si="101"/>
        <v>-1.5698851958922333</v>
      </c>
      <c r="R51" s="11">
        <f t="shared" si="101"/>
        <v>-1.2650388030799875</v>
      </c>
      <c r="S51" s="11">
        <f t="shared" si="101"/>
        <v>-1.0330949185721039</v>
      </c>
      <c r="T51" s="11">
        <f t="shared" si="101"/>
        <v>-0.87143859823795244</v>
      </c>
      <c r="U51" s="11">
        <f t="shared" si="101"/>
        <v>-0.77644206977739216</v>
      </c>
      <c r="V51" s="11">
        <f t="shared" si="99"/>
        <v>-0.7451497601421142</v>
      </c>
    </row>
    <row r="52" spans="6:22" x14ac:dyDescent="0.3">
      <c r="G52" s="25">
        <f t="shared" si="94"/>
        <v>1</v>
      </c>
      <c r="H52" s="35">
        <f t="shared" si="96"/>
        <v>0</v>
      </c>
      <c r="I52" s="35">
        <f t="shared" si="96"/>
        <v>0</v>
      </c>
      <c r="J52" s="35">
        <f t="shared" si="96"/>
        <v>0</v>
      </c>
      <c r="K52" s="35">
        <f t="shared" si="96"/>
        <v>0</v>
      </c>
      <c r="L52" s="35">
        <f>(L10-M10)/(2*$B$2)</f>
        <v>-3.3185579828514524</v>
      </c>
      <c r="M52" s="11">
        <f t="shared" si="101"/>
        <v>-5.587539571888116</v>
      </c>
      <c r="N52" s="11">
        <f t="shared" ref="N52:U52" si="102">(M10-O10)/(2*$B$2)</f>
        <v>-3.9780683226177054</v>
      </c>
      <c r="O52" s="11">
        <f t="shared" si="102"/>
        <v>-3.0384534986227361</v>
      </c>
      <c r="P52" s="11">
        <f t="shared" si="102"/>
        <v>-2.370087504418501</v>
      </c>
      <c r="Q52" s="11">
        <f t="shared" si="102"/>
        <v>-1.8560130913498851</v>
      </c>
      <c r="R52" s="11">
        <f t="shared" si="102"/>
        <v>-1.4595643950661841</v>
      </c>
      <c r="S52" s="11">
        <f t="shared" si="102"/>
        <v>-1.1666272705554603</v>
      </c>
      <c r="T52" s="11">
        <f t="shared" si="102"/>
        <v>-0.96691681947716379</v>
      </c>
      <c r="U52" s="11">
        <f t="shared" si="102"/>
        <v>-0.85136656758380225</v>
      </c>
      <c r="V52" s="11">
        <f t="shared" si="99"/>
        <v>-0.81360995113798573</v>
      </c>
    </row>
    <row r="53" spans="6:22" x14ac:dyDescent="0.3">
      <c r="G53" s="25">
        <f t="shared" si="94"/>
        <v>0.8</v>
      </c>
      <c r="H53" s="10"/>
      <c r="I53" s="10"/>
      <c r="J53" s="10"/>
      <c r="K53" s="10"/>
      <c r="L53" s="19"/>
      <c r="M53" s="36">
        <f>(M11-N11)/($B$2)</f>
        <v>-5.0084557299208639</v>
      </c>
      <c r="N53" s="11">
        <f t="shared" ref="N53:U53" si="103">(M11-O11)/(2*$B$2)</f>
        <v>-4.4293719308085562</v>
      </c>
      <c r="O53" s="11">
        <f t="shared" si="103"/>
        <v>-3.4158266360447187</v>
      </c>
      <c r="P53" s="11">
        <f t="shared" si="103"/>
        <v>-2.6385365182317937</v>
      </c>
      <c r="Q53" s="11">
        <f t="shared" si="103"/>
        <v>-2.0245152848366841</v>
      </c>
      <c r="R53" s="11">
        <f t="shared" si="103"/>
        <v>-1.5505783940943796</v>
      </c>
      <c r="S53" s="11">
        <f t="shared" si="103"/>
        <v>-1.2069328913206379</v>
      </c>
      <c r="T53" s="11">
        <f t="shared" si="103"/>
        <v>-0.97823475716155239</v>
      </c>
      <c r="U53" s="11">
        <f t="shared" si="103"/>
        <v>-0.84849732283752699</v>
      </c>
      <c r="V53" s="11">
        <f t="shared" si="99"/>
        <v>-0.8065567994074363</v>
      </c>
    </row>
    <row r="54" spans="6:22" x14ac:dyDescent="0.3">
      <c r="G54" s="25">
        <f t="shared" si="94"/>
        <v>0.60000000000000009</v>
      </c>
      <c r="H54" s="10"/>
      <c r="I54" s="10"/>
      <c r="J54" s="10"/>
      <c r="K54" s="10"/>
      <c r="L54" s="10"/>
      <c r="M54" s="20"/>
      <c r="N54" s="36">
        <f>(N12-O12)/($B$2)</f>
        <v>-3.993158279835396</v>
      </c>
      <c r="O54" s="11">
        <f t="shared" ref="O54:U54" si="104">(N12-P12)/(2*$B$2)</f>
        <v>-3.5569446728639487</v>
      </c>
      <c r="P54" s="11">
        <f t="shared" si="104"/>
        <v>-2.7437167043028041</v>
      </c>
      <c r="Q54" s="11">
        <f t="shared" si="104"/>
        <v>-2.0529331588338171</v>
      </c>
      <c r="R54" s="11">
        <f t="shared" si="104"/>
        <v>-1.5113009918892706</v>
      </c>
      <c r="S54" s="11">
        <f t="shared" si="104"/>
        <v>-1.1322910959515731</v>
      </c>
      <c r="T54" s="11">
        <f t="shared" si="104"/>
        <v>-0.89059191605148968</v>
      </c>
      <c r="U54" s="11">
        <f t="shared" si="104"/>
        <v>-0.75783107235066094</v>
      </c>
      <c r="V54" s="11">
        <f t="shared" si="99"/>
        <v>-0.71562249567747482</v>
      </c>
    </row>
    <row r="55" spans="6:22" x14ac:dyDescent="0.3">
      <c r="G55" s="25">
        <f t="shared" si="94"/>
        <v>0.4</v>
      </c>
      <c r="H55" s="10"/>
      <c r="I55" s="10"/>
      <c r="J55" s="10"/>
      <c r="K55" s="10"/>
      <c r="L55" s="10"/>
      <c r="M55" s="10"/>
      <c r="N55" s="20"/>
      <c r="O55" s="36">
        <f>(O13-P13)/($B$2)</f>
        <v>-3.1416985814568066</v>
      </c>
      <c r="P55" s="17">
        <f t="shared" ref="P55:U55" si="105">(O13-Q13)/(2*$B$2)</f>
        <v>-2.7264525288689261</v>
      </c>
      <c r="Q55" s="11">
        <f t="shared" si="105"/>
        <v>-1.9321996869061446</v>
      </c>
      <c r="R55" s="11">
        <f t="shared" si="105"/>
        <v>-1.3094013158819022</v>
      </c>
      <c r="S55" s="11">
        <f t="shared" si="105"/>
        <v>-0.92033854822671013</v>
      </c>
      <c r="T55" s="11">
        <f t="shared" si="105"/>
        <v>-0.69401067774906511</v>
      </c>
      <c r="U55" s="11">
        <f t="shared" si="105"/>
        <v>-0.57661247413874184</v>
      </c>
      <c r="V55" s="11">
        <f t="shared" si="99"/>
        <v>-0.54027095500021272</v>
      </c>
    </row>
    <row r="56" spans="6:22" x14ac:dyDescent="0.3">
      <c r="G56" s="25">
        <f>G57+B$2</f>
        <v>0.2</v>
      </c>
      <c r="H56" s="10"/>
      <c r="I56" s="10"/>
      <c r="J56" s="10"/>
      <c r="K56" s="10"/>
      <c r="L56" s="10"/>
      <c r="M56" s="10"/>
      <c r="N56" s="10"/>
      <c r="O56" s="20"/>
      <c r="P56" s="36">
        <f>(P14-Q14)/($B$2)</f>
        <v>-2.1832321413793334</v>
      </c>
      <c r="Q56" s="21">
        <f t="shared" ref="Q56:U56" si="106">(P14-R14)/(2*$B$2)</f>
        <v>-1.6400117808784971</v>
      </c>
      <c r="R56" s="11">
        <f t="shared" si="106"/>
        <v>-0.87376604252772672</v>
      </c>
      <c r="S56" s="11">
        <f t="shared" si="106"/>
        <v>-0.54565108228840498</v>
      </c>
      <c r="T56" s="11">
        <f t="shared" si="106"/>
        <v>-0.38849972939551725</v>
      </c>
      <c r="U56" s="11">
        <f t="shared" si="106"/>
        <v>-0.31433713683309772</v>
      </c>
      <c r="V56" s="11">
        <f t="shared" si="99"/>
        <v>-0.29223631477417855</v>
      </c>
    </row>
    <row r="57" spans="6:22" x14ac:dyDescent="0.3">
      <c r="G57" s="25">
        <v>0</v>
      </c>
      <c r="H57" s="10"/>
      <c r="I57" s="10"/>
      <c r="J57" s="10"/>
      <c r="K57" s="10"/>
      <c r="L57" s="10"/>
      <c r="M57" s="10"/>
      <c r="N57" s="10"/>
      <c r="O57" s="10"/>
      <c r="P57" s="19"/>
      <c r="Q57" s="36">
        <f>(Q15-R15)/($B$2)</f>
        <v>0</v>
      </c>
      <c r="R57" s="35">
        <f t="shared" ref="R57:U57" si="107">(R15-S15)/($B$2)</f>
        <v>0</v>
      </c>
      <c r="S57" s="36">
        <f t="shared" si="107"/>
        <v>0</v>
      </c>
      <c r="T57" s="36">
        <f t="shared" si="107"/>
        <v>0</v>
      </c>
      <c r="U57" s="36">
        <f t="shared" si="107"/>
        <v>0</v>
      </c>
      <c r="V57" s="36">
        <f t="shared" si="99"/>
        <v>0</v>
      </c>
    </row>
    <row r="58" spans="6:22" x14ac:dyDescent="0.3">
      <c r="G58" s="10"/>
      <c r="H58" s="25">
        <v>0</v>
      </c>
      <c r="I58" s="25">
        <f>H58+$B$2</f>
        <v>0.2</v>
      </c>
      <c r="J58" s="25">
        <f t="shared" ref="J58:V58" si="108">I58+$B$2</f>
        <v>0.4</v>
      </c>
      <c r="K58" s="25">
        <f t="shared" si="108"/>
        <v>0.60000000000000009</v>
      </c>
      <c r="L58" s="25">
        <f t="shared" si="108"/>
        <v>0.8</v>
      </c>
      <c r="M58" s="25">
        <f t="shared" si="108"/>
        <v>1</v>
      </c>
      <c r="N58" s="25">
        <f t="shared" si="108"/>
        <v>1.2</v>
      </c>
      <c r="O58" s="28">
        <f t="shared" si="108"/>
        <v>1.4</v>
      </c>
      <c r="P58" s="25">
        <f t="shared" si="108"/>
        <v>1.5999999999999999</v>
      </c>
      <c r="Q58" s="25">
        <f t="shared" si="108"/>
        <v>1.7999999999999998</v>
      </c>
      <c r="R58" s="25">
        <f t="shared" si="108"/>
        <v>1.9999999999999998</v>
      </c>
      <c r="S58" s="25">
        <f t="shared" si="108"/>
        <v>2.1999999999999997</v>
      </c>
      <c r="T58" s="25">
        <f t="shared" si="108"/>
        <v>2.4</v>
      </c>
      <c r="U58" s="25">
        <f t="shared" si="108"/>
        <v>2.6</v>
      </c>
      <c r="V58" s="25">
        <f t="shared" si="108"/>
        <v>2.8000000000000003</v>
      </c>
    </row>
    <row r="59" spans="6:22" x14ac:dyDescent="0.3"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</row>
    <row r="60" spans="6:22" x14ac:dyDescent="0.3">
      <c r="F60" s="33" t="s">
        <v>10</v>
      </c>
      <c r="G60" s="10"/>
      <c r="H60" s="25">
        <v>1</v>
      </c>
      <c r="I60" s="25">
        <v>2</v>
      </c>
      <c r="J60" s="25">
        <v>3</v>
      </c>
      <c r="K60" s="25">
        <v>4</v>
      </c>
      <c r="L60" s="25">
        <v>5</v>
      </c>
      <c r="M60" s="25">
        <v>6</v>
      </c>
      <c r="N60" s="25">
        <v>7</v>
      </c>
      <c r="O60" s="25">
        <v>8</v>
      </c>
      <c r="P60" s="25">
        <v>9</v>
      </c>
      <c r="Q60" s="25">
        <v>10</v>
      </c>
      <c r="R60" s="25">
        <v>11</v>
      </c>
      <c r="S60" s="25">
        <v>12</v>
      </c>
      <c r="T60" s="25">
        <v>13</v>
      </c>
      <c r="U60" s="25">
        <v>14</v>
      </c>
      <c r="V60" s="25">
        <v>15</v>
      </c>
    </row>
    <row r="61" spans="6:22" x14ac:dyDescent="0.3">
      <c r="G61" s="25">
        <f t="shared" ref="G61:G69" si="109">G62+B$2</f>
        <v>1.9999999999999998</v>
      </c>
      <c r="H61" s="12">
        <f>(H33^2+H47^2)^0.5</f>
        <v>10</v>
      </c>
      <c r="I61" s="12">
        <f t="shared" ref="I61:V61" si="110">(I33^2+I47^2)^0.5</f>
        <v>9.8582767743048993</v>
      </c>
      <c r="J61" s="12">
        <f t="shared" si="110"/>
        <v>9.6756592369132477</v>
      </c>
      <c r="K61" s="12">
        <f t="shared" si="110"/>
        <v>9.4096350062731116</v>
      </c>
      <c r="L61" s="12">
        <f t="shared" si="110"/>
        <v>9.0239141692067548</v>
      </c>
      <c r="M61" s="12">
        <f t="shared" si="110"/>
        <v>8.5155653344107485</v>
      </c>
      <c r="N61" s="12">
        <f t="shared" si="110"/>
        <v>7.9485466254543446</v>
      </c>
      <c r="O61" s="12">
        <f t="shared" si="110"/>
        <v>7.3892547169568523</v>
      </c>
      <c r="P61" s="12">
        <f t="shared" si="110"/>
        <v>6.8790495069462931</v>
      </c>
      <c r="Q61" s="12">
        <f t="shared" si="110"/>
        <v>6.4349682297533484</v>
      </c>
      <c r="R61" s="12">
        <f t="shared" si="110"/>
        <v>6.0578560709646823</v>
      </c>
      <c r="S61" s="12">
        <f t="shared" si="110"/>
        <v>5.7394576528168262</v>
      </c>
      <c r="T61" s="12">
        <f t="shared" si="110"/>
        <v>5.466981200625094</v>
      </c>
      <c r="U61" s="12">
        <f t="shared" si="110"/>
        <v>5.225656058540622</v>
      </c>
      <c r="V61" s="12">
        <f t="shared" si="110"/>
        <v>5</v>
      </c>
    </row>
    <row r="62" spans="6:22" x14ac:dyDescent="0.3">
      <c r="G62" s="25">
        <f t="shared" si="109"/>
        <v>1.7999999999999998</v>
      </c>
      <c r="H62" s="12">
        <f t="shared" ref="H62:V62" si="111">(H34^2+H48^2)^0.5</f>
        <v>10.001004223211858</v>
      </c>
      <c r="I62" s="12">
        <f t="shared" si="111"/>
        <v>9.8800549406571267</v>
      </c>
      <c r="J62" s="12">
        <f t="shared" si="111"/>
        <v>9.7199514012412678</v>
      </c>
      <c r="K62" s="12">
        <f t="shared" si="111"/>
        <v>9.4750887464428111</v>
      </c>
      <c r="L62" s="12">
        <f t="shared" si="111"/>
        <v>9.0962195752178463</v>
      </c>
      <c r="M62" s="12">
        <f t="shared" si="111"/>
        <v>8.5618002734764982</v>
      </c>
      <c r="N62" s="12">
        <f t="shared" si="111"/>
        <v>7.9646176773743571</v>
      </c>
      <c r="O62" s="12">
        <f t="shared" si="111"/>
        <v>7.3840997281903764</v>
      </c>
      <c r="P62" s="12">
        <f t="shared" si="111"/>
        <v>6.8625950097665047</v>
      </c>
      <c r="Q62" s="12">
        <f t="shared" si="111"/>
        <v>6.4146381109014365</v>
      </c>
      <c r="R62" s="12">
        <f t="shared" si="111"/>
        <v>6.0385209823153332</v>
      </c>
      <c r="S62" s="12">
        <f t="shared" si="111"/>
        <v>5.7241258642542086</v>
      </c>
      <c r="T62" s="12">
        <f t="shared" si="111"/>
        <v>5.4574554555348369</v>
      </c>
      <c r="U62" s="12">
        <f t="shared" si="111"/>
        <v>5.2230430833246757</v>
      </c>
      <c r="V62" s="12">
        <f t="shared" si="111"/>
        <v>5.0050894753996245</v>
      </c>
    </row>
    <row r="63" spans="6:22" x14ac:dyDescent="0.3">
      <c r="G63" s="25">
        <f t="shared" si="109"/>
        <v>1.5999999999999999</v>
      </c>
      <c r="H63" s="12">
        <f t="shared" ref="H63:V63" si="112">(H35^2+H49^2)^0.5</f>
        <v>10.00294114472891</v>
      </c>
      <c r="I63" s="12">
        <f t="shared" si="112"/>
        <v>9.9432741408935783</v>
      </c>
      <c r="J63" s="12">
        <f t="shared" si="112"/>
        <v>9.8540853803327533</v>
      </c>
      <c r="K63" s="12">
        <f t="shared" si="112"/>
        <v>9.6863560701692339</v>
      </c>
      <c r="L63" s="12">
        <f t="shared" si="112"/>
        <v>9.3484488831914394</v>
      </c>
      <c r="M63" s="12">
        <f t="shared" si="112"/>
        <v>8.7091299281679682</v>
      </c>
      <c r="N63" s="12">
        <f t="shared" si="112"/>
        <v>8.0080175928004245</v>
      </c>
      <c r="O63" s="12">
        <f t="shared" si="112"/>
        <v>7.3613725307631634</v>
      </c>
      <c r="P63" s="12">
        <f t="shared" si="112"/>
        <v>6.8071989735882328</v>
      </c>
      <c r="Q63" s="12">
        <f t="shared" si="112"/>
        <v>6.3493260277771473</v>
      </c>
      <c r="R63" s="12">
        <f t="shared" si="112"/>
        <v>5.9775373923790651</v>
      </c>
      <c r="S63" s="12">
        <f t="shared" si="112"/>
        <v>5.6760374106159741</v>
      </c>
      <c r="T63" s="12">
        <f t="shared" si="112"/>
        <v>5.4272811058161698</v>
      </c>
      <c r="U63" s="12">
        <f t="shared" si="112"/>
        <v>5.213802254381747</v>
      </c>
      <c r="V63" s="12">
        <f t="shared" si="112"/>
        <v>5.018942599868236</v>
      </c>
    </row>
    <row r="64" spans="6:22" x14ac:dyDescent="0.3">
      <c r="G64" s="25">
        <f t="shared" si="109"/>
        <v>1.4</v>
      </c>
      <c r="H64" s="12">
        <f t="shared" ref="H64:V64" si="113">(H36^2+H50^2)^0.5</f>
        <v>10.003463389460508</v>
      </c>
      <c r="I64" s="12">
        <f t="shared" si="113"/>
        <v>10.03771140375019</v>
      </c>
      <c r="J64" s="12">
        <f t="shared" si="113"/>
        <v>10.07232118930029</v>
      </c>
      <c r="K64" s="12">
        <f t="shared" si="113"/>
        <v>10.082652356595199</v>
      </c>
      <c r="L64" s="12">
        <f t="shared" si="113"/>
        <v>9.9360347533743063</v>
      </c>
      <c r="M64" s="12">
        <f t="shared" si="113"/>
        <v>8.9760965058201734</v>
      </c>
      <c r="N64" s="12">
        <f t="shared" si="113"/>
        <v>8.0563024581265328</v>
      </c>
      <c r="O64" s="12">
        <f t="shared" si="113"/>
        <v>7.296493245334756</v>
      </c>
      <c r="P64" s="12">
        <f t="shared" si="113"/>
        <v>6.6944867742183396</v>
      </c>
      <c r="Q64" s="12">
        <f t="shared" si="113"/>
        <v>6.2264965958032512</v>
      </c>
      <c r="R64" s="12">
        <f t="shared" si="113"/>
        <v>5.8664832424488118</v>
      </c>
      <c r="S64" s="12">
        <f t="shared" si="113"/>
        <v>5.5893773829237841</v>
      </c>
      <c r="T64" s="12">
        <f t="shared" si="113"/>
        <v>5.3720686485204636</v>
      </c>
      <c r="U64" s="12">
        <f t="shared" si="113"/>
        <v>5.1940627806656048</v>
      </c>
      <c r="V64" s="12">
        <f t="shared" si="113"/>
        <v>5.0375713149032277</v>
      </c>
    </row>
    <row r="65" spans="7:22" x14ac:dyDescent="0.3">
      <c r="G65" s="25">
        <f t="shared" si="109"/>
        <v>1.2</v>
      </c>
      <c r="H65" s="12">
        <f t="shared" ref="H65:V65" si="114">(H37^2+H51^2)^0.5</f>
        <v>10.001568396389853</v>
      </c>
      <c r="I65" s="12">
        <f t="shared" si="114"/>
        <v>10.134050952759839</v>
      </c>
      <c r="J65" s="12">
        <f t="shared" si="114"/>
        <v>10.324215071928634</v>
      </c>
      <c r="K65" s="12">
        <f t="shared" si="114"/>
        <v>10.664754346947548</v>
      </c>
      <c r="L65" s="12">
        <f t="shared" si="114"/>
        <v>11.399983606778441</v>
      </c>
      <c r="M65" s="12">
        <f t="shared" si="114"/>
        <v>9.3340322084457057</v>
      </c>
      <c r="N65" s="12">
        <f t="shared" si="114"/>
        <v>8.0421654646973018</v>
      </c>
      <c r="O65" s="12">
        <f t="shared" si="114"/>
        <v>7.1415586839208833</v>
      </c>
      <c r="P65" s="12">
        <f t="shared" si="114"/>
        <v>6.4945985416473357</v>
      </c>
      <c r="Q65" s="12">
        <f t="shared" si="114"/>
        <v>6.0273588754123901</v>
      </c>
      <c r="R65" s="12">
        <f t="shared" si="114"/>
        <v>5.6932307710218781</v>
      </c>
      <c r="S65" s="12">
        <f t="shared" si="114"/>
        <v>5.4560687680427939</v>
      </c>
      <c r="T65" s="12">
        <f t="shared" si="114"/>
        <v>5.2858815164485273</v>
      </c>
      <c r="U65" s="12">
        <f t="shared" si="114"/>
        <v>5.1585209530567244</v>
      </c>
      <c r="V65" s="12">
        <f t="shared" si="114"/>
        <v>5.0552198928473775</v>
      </c>
    </row>
    <row r="66" spans="7:22" x14ac:dyDescent="0.3">
      <c r="G66" s="25">
        <f t="shared" si="109"/>
        <v>1</v>
      </c>
      <c r="H66" s="12">
        <f t="shared" ref="H66:V66" si="115">(H38^2+H52^2)^0.5</f>
        <v>10</v>
      </c>
      <c r="I66" s="12">
        <f t="shared" si="115"/>
        <v>10.177116875718506</v>
      </c>
      <c r="J66" s="12">
        <f t="shared" si="115"/>
        <v>10.445256980920869</v>
      </c>
      <c r="K66" s="12">
        <f t="shared" si="115"/>
        <v>10.970737949940945</v>
      </c>
      <c r="L66" s="12">
        <f t="shared" si="115"/>
        <v>12.622782966498741</v>
      </c>
      <c r="M66" s="12">
        <f t="shared" ref="M66:N66" si="116">(M38^2+M52^2)^0.5</f>
        <v>9.5029384121712042</v>
      </c>
      <c r="N66" s="12">
        <f t="shared" si="116"/>
        <v>7.8147985695056397</v>
      </c>
      <c r="O66" s="12">
        <f t="shared" si="115"/>
        <v>6.8275906353865912</v>
      </c>
      <c r="P66" s="12">
        <f t="shared" ref="P66:U71" si="117">(P38^2+P52^2)^0.5</f>
        <v>6.1735954548904974</v>
      </c>
      <c r="Q66" s="12">
        <f t="shared" si="117"/>
        <v>5.7318530611458947</v>
      </c>
      <c r="R66" s="12">
        <f t="shared" si="117"/>
        <v>5.4451560087779116</v>
      </c>
      <c r="S66" s="12">
        <f t="shared" si="117"/>
        <v>5.2682940441445911</v>
      </c>
      <c r="T66" s="12">
        <f t="shared" si="117"/>
        <v>5.1633973918228238</v>
      </c>
      <c r="U66" s="12">
        <f t="shared" si="117"/>
        <v>5.1022350920791437</v>
      </c>
      <c r="V66" s="12">
        <f t="shared" si="115"/>
        <v>5.0657636297591653</v>
      </c>
    </row>
    <row r="67" spans="7:22" x14ac:dyDescent="0.3">
      <c r="G67" s="25">
        <f t="shared" si="109"/>
        <v>0.8</v>
      </c>
      <c r="H67" s="10"/>
      <c r="I67" s="10"/>
      <c r="J67" s="10"/>
      <c r="K67" s="10"/>
      <c r="L67" s="19"/>
      <c r="M67" s="13">
        <f t="shared" ref="M67" si="118">(M39^2+M53^2)^0.5</f>
        <v>8.314802291141115</v>
      </c>
      <c r="N67" s="12">
        <f t="shared" ref="N67:O67" si="119">(N39^2+N53^2)^0.5</f>
        <v>7.1302127716394512</v>
      </c>
      <c r="O67" s="12">
        <f t="shared" si="119"/>
        <v>6.3054239797639813</v>
      </c>
      <c r="P67" s="12">
        <f t="shared" si="117"/>
        <v>5.7146414249477981</v>
      </c>
      <c r="Q67" s="12">
        <f t="shared" si="117"/>
        <v>5.326185887761099</v>
      </c>
      <c r="R67" s="12">
        <f t="shared" si="117"/>
        <v>5.1129177405674078</v>
      </c>
      <c r="S67" s="12">
        <f t="shared" si="117"/>
        <v>5.0218727036741075</v>
      </c>
      <c r="T67" s="12">
        <f t="shared" si="117"/>
        <v>5.0030327978793032</v>
      </c>
      <c r="U67" s="12">
        <f t="shared" si="117"/>
        <v>5.0231873163278307</v>
      </c>
      <c r="V67" s="12">
        <f t="shared" ref="V67" si="120">(V39^2+V53^2)^0.5</f>
        <v>5.0646356108480663</v>
      </c>
    </row>
    <row r="68" spans="7:22" x14ac:dyDescent="0.3">
      <c r="G68" s="25">
        <f t="shared" si="109"/>
        <v>0.60000000000000009</v>
      </c>
      <c r="H68" s="10"/>
      <c r="I68" s="10"/>
      <c r="J68" s="10"/>
      <c r="K68" s="10"/>
      <c r="L68" s="10"/>
      <c r="M68" s="20"/>
      <c r="N68" s="13">
        <f t="shared" ref="N68:O68" si="121">(N40^2+N54^2)^0.5</f>
        <v>6.4054618761175304</v>
      </c>
      <c r="O68" s="12">
        <f t="shared" si="121"/>
        <v>5.680773812364821</v>
      </c>
      <c r="P68" s="12">
        <f t="shared" si="117"/>
        <v>5.1423309223122393</v>
      </c>
      <c r="Q68" s="12">
        <f t="shared" si="117"/>
        <v>4.8023717121263001</v>
      </c>
      <c r="R68" s="12">
        <f t="shared" si="117"/>
        <v>4.6916029006964992</v>
      </c>
      <c r="S68" s="12">
        <f t="shared" si="117"/>
        <v>4.7204457759673746</v>
      </c>
      <c r="T68" s="12">
        <f t="shared" si="117"/>
        <v>4.8112604216463248</v>
      </c>
      <c r="U68" s="12">
        <f t="shared" si="117"/>
        <v>4.9255056339341392</v>
      </c>
      <c r="V68" s="12">
        <f t="shared" ref="V68" si="122">(V40^2+V54^2)^0.5</f>
        <v>5.0509519455563678</v>
      </c>
    </row>
    <row r="69" spans="7:22" x14ac:dyDescent="0.3">
      <c r="G69" s="25">
        <f t="shared" si="109"/>
        <v>0.4</v>
      </c>
      <c r="H69" s="10"/>
      <c r="I69" s="10"/>
      <c r="J69" s="10"/>
      <c r="K69" s="10"/>
      <c r="L69" s="10"/>
      <c r="M69" s="10"/>
      <c r="N69" s="20"/>
      <c r="O69" s="13">
        <f t="shared" ref="O69" si="123">(O41^2+O55^2)^0.5</f>
        <v>5.0809037606065406</v>
      </c>
      <c r="P69" s="12">
        <f t="shared" si="117"/>
        <v>4.4816736603629437</v>
      </c>
      <c r="Q69" s="12">
        <f t="shared" si="117"/>
        <v>4.1287116295344761</v>
      </c>
      <c r="R69" s="12">
        <f t="shared" si="117"/>
        <v>4.1802354320636814</v>
      </c>
      <c r="S69" s="12">
        <f t="shared" si="117"/>
        <v>4.3839091794985263</v>
      </c>
      <c r="T69" s="12">
        <f t="shared" si="117"/>
        <v>4.6090561220812818</v>
      </c>
      <c r="U69" s="12">
        <f t="shared" si="117"/>
        <v>4.8229000617222919</v>
      </c>
      <c r="V69" s="12">
        <f t="shared" ref="V69" si="124">(V41^2+V55^2)^0.5</f>
        <v>5.0291045629233881</v>
      </c>
    </row>
    <row r="70" spans="7:22" x14ac:dyDescent="0.3">
      <c r="G70" s="25">
        <f>G71+B$2</f>
        <v>0.2</v>
      </c>
      <c r="H70" s="10"/>
      <c r="I70" s="10"/>
      <c r="J70" s="10"/>
      <c r="K70" s="10"/>
      <c r="L70" s="10"/>
      <c r="M70" s="10"/>
      <c r="N70" s="10"/>
      <c r="O70" s="20"/>
      <c r="P70" s="13">
        <f t="shared" si="117"/>
        <v>3.8258035182010457</v>
      </c>
      <c r="Q70" s="12">
        <f t="shared" si="117"/>
        <v>3.1816948366548328</v>
      </c>
      <c r="R70" s="12">
        <f t="shared" si="117"/>
        <v>3.6103766059486113</v>
      </c>
      <c r="S70" s="12">
        <f t="shared" si="117"/>
        <v>4.0725730637758417</v>
      </c>
      <c r="T70" s="12">
        <f t="shared" si="117"/>
        <v>4.4404154359344989</v>
      </c>
      <c r="U70" s="12">
        <f t="shared" si="117"/>
        <v>4.7402981168693987</v>
      </c>
      <c r="V70" s="12">
        <f t="shared" ref="V70" si="125">(V42^2+V56^2)^0.5</f>
        <v>5.0085329252858859</v>
      </c>
    </row>
    <row r="71" spans="7:22" x14ac:dyDescent="0.3">
      <c r="G71" s="25">
        <v>0</v>
      </c>
      <c r="H71" s="10"/>
      <c r="I71" s="10"/>
      <c r="J71" s="10"/>
      <c r="K71" s="10"/>
      <c r="L71" s="10"/>
      <c r="M71" s="10"/>
      <c r="N71" s="10"/>
      <c r="O71" s="10"/>
      <c r="P71" s="19"/>
      <c r="Q71" s="13">
        <f t="shared" si="117"/>
        <v>2.1832321413793334</v>
      </c>
      <c r="R71" s="12">
        <f t="shared" si="117"/>
        <v>3.2800235617569942</v>
      </c>
      <c r="S71" s="12">
        <f t="shared" si="117"/>
        <v>3.9307642264347868</v>
      </c>
      <c r="T71" s="12">
        <f t="shared" si="117"/>
        <v>4.3713257263338043</v>
      </c>
      <c r="U71" s="12">
        <f t="shared" si="117"/>
        <v>4.7077636852258209</v>
      </c>
      <c r="V71" s="12">
        <f t="shared" ref="V71" si="126">(V43^2+V57^2)^0.5</f>
        <v>5</v>
      </c>
    </row>
    <row r="72" spans="7:22" x14ac:dyDescent="0.3">
      <c r="G72" s="10"/>
      <c r="H72" s="25">
        <v>0</v>
      </c>
      <c r="I72" s="25">
        <f>H72+$B$2</f>
        <v>0.2</v>
      </c>
      <c r="J72" s="25">
        <f t="shared" ref="J72:V72" si="127">I72+$B$2</f>
        <v>0.4</v>
      </c>
      <c r="K72" s="25">
        <f t="shared" si="127"/>
        <v>0.60000000000000009</v>
      </c>
      <c r="L72" s="25">
        <f t="shared" si="127"/>
        <v>0.8</v>
      </c>
      <c r="M72" s="25">
        <f t="shared" si="127"/>
        <v>1</v>
      </c>
      <c r="N72" s="25">
        <f t="shared" si="127"/>
        <v>1.2</v>
      </c>
      <c r="O72" s="25">
        <f t="shared" si="127"/>
        <v>1.4</v>
      </c>
      <c r="P72" s="25">
        <f t="shared" si="127"/>
        <v>1.5999999999999999</v>
      </c>
      <c r="Q72" s="25">
        <f t="shared" si="127"/>
        <v>1.7999999999999998</v>
      </c>
      <c r="R72" s="25">
        <f t="shared" si="127"/>
        <v>1.9999999999999998</v>
      </c>
      <c r="S72" s="25">
        <f t="shared" si="127"/>
        <v>2.1999999999999997</v>
      </c>
      <c r="T72" s="25">
        <f t="shared" si="127"/>
        <v>2.4</v>
      </c>
      <c r="U72" s="25">
        <f t="shared" si="127"/>
        <v>2.6</v>
      </c>
      <c r="V72" s="25">
        <f t="shared" si="127"/>
        <v>2.8000000000000003</v>
      </c>
    </row>
  </sheetData>
  <conditionalFormatting sqref="H19:V29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1:V71">
    <cfRule type="colorScale" priority="7">
      <colorScale>
        <cfvo type="min"/>
        <cfvo type="max"/>
        <color rgb="FFFCFCFF"/>
        <color rgb="FFF8696B"/>
      </colorScale>
    </cfRule>
    <cfRule type="colorScale" priority="5">
      <colorScale>
        <cfvo type="min"/>
        <cfvo type="max"/>
        <color theme="4"/>
        <color theme="4" tint="0.59999389629810485"/>
      </colorScale>
    </cfRule>
    <cfRule type="colorScale" priority="4">
      <colorScale>
        <cfvo type="min"/>
        <cfvo type="max"/>
        <color theme="4" tint="0.59999389629810485"/>
        <color theme="4"/>
      </colorScale>
    </cfRule>
    <cfRule type="colorScale" priority="3">
      <colorScale>
        <cfvo type="min"/>
        <cfvo type="max"/>
        <color theme="4" tint="0.79998168889431442"/>
        <color theme="4"/>
      </colorScale>
    </cfRule>
  </conditionalFormatting>
  <conditionalFormatting sqref="L53">
    <cfRule type="colorScale" priority="6">
      <colorScale>
        <cfvo type="min"/>
        <cfvo type="max"/>
        <color theme="4"/>
        <color theme="4" tint="0.59999389629810485"/>
      </colorScale>
    </cfRule>
  </conditionalFormatting>
  <conditionalFormatting sqref="H19:V24 Z38 Q25:V29 M25:P25 P26:P28 O27 N26:O26">
    <cfRule type="colorScale" priority="2">
      <colorScale>
        <cfvo type="min"/>
        <cfvo type="max"/>
        <color rgb="FFFF7128"/>
        <color rgb="FFFFEF9C"/>
      </colorScale>
    </cfRule>
  </conditionalFormatting>
  <conditionalFormatting sqref="H61:V66 AC73 Q67:V72 P70 O69:P69 N68:P68 M67:P67">
    <cfRule type="colorScale" priority="1">
      <colorScale>
        <cfvo type="min"/>
        <cfvo type="max"/>
        <color rgb="FFFFCCFF"/>
        <color rgb="FFFF66CC"/>
      </colorScale>
    </cfRule>
  </conditionalFormatting>
  <pageMargins left="0.7" right="0.7" top="0.75" bottom="0.75" header="0.3" footer="0.3"/>
  <pageSetup paperSize="9" orientation="portrait" verticalDpi="300" r:id="rId1"/>
  <ignoredErrors>
    <ignoredError sqref="I47 AI8:AN8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Evgenia</dc:creator>
  <cp:lastModifiedBy>Пользователь Windows</cp:lastModifiedBy>
  <dcterms:created xsi:type="dcterms:W3CDTF">2021-04-15T15:40:00Z</dcterms:created>
  <dcterms:modified xsi:type="dcterms:W3CDTF">2021-05-22T12:50:01Z</dcterms:modified>
</cp:coreProperties>
</file>